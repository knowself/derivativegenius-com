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8570752e2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38319b369e8f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6">
    <x:font>
      <x:sz val="11"/>
      <x:name val="Carlito"/>
    </x:font>
    <x:font>
      <x:b/>
      <x:sz val="18"/>
      <x:color rgb="FF19304A"/>
      <x:name val="Aptos Display"/>
    </x:font>
    <x:font>
      <x:sz val="10"/>
      <x:color rgb="FF526375"/>
      <x:name val="Aptos"/>
    </x:font>
    <x:font>
      <x:b/>
      <x:sz val="10"/>
      <x:color rgb="FF19304A"/>
      <x:name val="Aptos"/>
    </x:font>
    <x:font>
      <x:b/>
      <x:sz val="10"/>
      <x:color rgb="FFFFFFFF"/>
      <x:name val="Aptos"/>
    </x:font>
    <x:font>
      <x:sz val="11"/>
      <x:color rgb="FF175CD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AF5F4"/>
      </x:patternFill>
    </x:fill>
    <x:fill>
      <x:patternFill patternType="solid">
        <x:fgColor rgb="FF19304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52218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2d05a26704b0f" /><Relationship Type="http://schemas.openxmlformats.org/officeDocument/2006/relationships/theme" Target="/xl/theme/theme1.xml" Id="R02ed8d57f1744451" /><Relationship Type="http://schemas.openxmlformats.org/officeDocument/2006/relationships/sharedStrings" Target="/xl/sharedStrings.xml" Id="Rb3b129e79dbd4494" /><Relationship Type="http://schemas.openxmlformats.org/officeDocument/2006/relationships/worksheet" Target="/xl/worksheets/sheet1.xml" Id="R38319b369e8f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04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5" hidden="0" customWidth="1"/>
    <x:col min="5" max="5" width="21" hidden="0" customWidth="1"/>
    <x:col min="6" max="6" width="18" hidden="0" customWidth="1"/>
    <x:col min="7" max="7" width="18" hidden="0" customWidth="1"/>
    <x:col min="8" max="8" width="32" hidden="0" customWidth="1"/>
    <x:col min="9" max="9" width="37" hidden="0" customWidth="1"/>
    <x:col min="10" max="10" width="37" hidden="0" customWidth="1"/>
    <x:col min="11" max="11" width="19" hidden="0" customWidth="1"/>
    <x:col min="12" max="12" width="19" hidden="0" customWidth="1"/>
  </x:cols>
  <x:sheetData>
    <x:row r="1" ht="34" customHeight="1">
      <x:c r="A1" s="1" t="str">
        <x:v>Prospect and follow-up tracker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One row per person. Fill blue columns A-K. Enter true dates in F and G. Dates and follow-ups require your judgment.</x:v>
      </x:c>
    </x:row>
    <x:row r="4" ht="30" customHeight="1">
      <x:c r="A4" s="4" t="str">
        <x:v>Active</x:v>
      </x:c>
      <x:c r="B4" t="n">
        <x:f>COUNTIF(K9:K108,"Active")+COUNTIF(K9:K108,"Waiting")</x:f>
        <x:v>0</x:v>
      </x:c>
      <x:c r="C4" s="4" t="str">
        <x:v>Overdue</x:v>
      </x:c>
      <x:c r="D4" t="n">
        <x:f>COUNTIF(L9:L108,"Overdue")</x:f>
        <x:v>0</x:v>
      </x:c>
      <x:c r="E4" s="4" t="str">
        <x:v>Due today</x:v>
      </x:c>
      <x:c r="F4" t="n">
        <x:f>COUNTIFS(G9:G108,"&gt;0",G9:G108,"&lt;="&amp;TODAY(),K9:K108,"Active")+COUNTIFS(G9:G108,"&gt;0",G9:G108,"&lt;="&amp;TODAY(),K9:K108,"Waiting")-D4</x:f>
        <x:v>0</x:v>
      </x:c>
      <x:c r="G4" s="4" t="str">
        <x:v>Next 7 days</x:v>
      </x:c>
      <x:c r="H4" t="n">
        <x:f>COUNTIF(L9:L108,"This week")-F4</x:f>
        <x:v>0</x:v>
      </x:c>
      <x:c r="I4" s="4" t="str">
        <x:v>Calls scheduled</x:v>
      </x:c>
      <x:c r="J4" t="n">
        <x:f>COUNTIF(E9:E108,"Call scheduled")</x:f>
        <x:v>0</x:v>
      </x:c>
      <x:c r="K4" s="4" t="str">
        <x:v>Won</x:v>
      </x:c>
      <x:c r="L4" t="n">
        <x:f>COUNTIF(K9:K108,"Won")</x:f>
        <x:v>0</x:v>
      </x:c>
    </x:row>
    <x:row r="6">
      <x:c r="A6" s="2" t="str">
        <x:v>Overdue and due counts include only Active or Waiting contacts with a next-action date. Clear dates after an action is complete.</x:v>
      </x:c>
    </x:row>
    <x:row r="8" ht="33" customHeight="1">
      <x:c r="A8" s="6" t="str">
        <x:v>ID</x:v>
      </x:c>
      <x:c r="B8" s="6" t="str">
        <x:v>Contact</x:v>
      </x:c>
      <x:c r="C8" s="6" t="str">
        <x:v>Organization</x:v>
      </x:c>
      <x:c r="D8" s="6" t="str">
        <x:v>Relationship / source</x:v>
      </x:c>
      <x:c r="E8" s="6" t="str">
        <x:v>Stage</x:v>
      </x:c>
      <x:c r="F8" s="6" t="str">
        <x:v>Last contact</x:v>
      </x:c>
      <x:c r="G8" s="6" t="str">
        <x:v>Next action date</x:v>
      </x:c>
      <x:c r="H8" s="6" t="str">
        <x:v>Next action</x:v>
      </x:c>
      <x:c r="I8" s="6" t="str">
        <x:v>Problem in their words</x:v>
      </x:c>
      <x:c r="J8" s="6" t="str">
        <x:v>Outcome / notes</x:v>
      </x:c>
      <x:c r="K8" s="6" t="str">
        <x:v>Status</x:v>
      </x:c>
      <x:c r="L8" s="6" t="str">
        <x:v>Due flag</x:v>
      </x:c>
    </x:row>
    <x:row r="9" ht="23" customHeight="1">
      <x:c r="A9" s="7"/>
      <x:c r="B9" s="7" t="str"/>
      <x:c r="C9" s="7"/>
      <x:c r="D9" s="7"/>
      <x:c r="E9" s="7"/>
      <x:c r="F9" s="8"/>
      <x:c r="G9" s="8" t="str"/>
      <x:c r="H9" s="7"/>
      <x:c r="I9" s="7"/>
      <x:c r="J9" s="7"/>
      <x:c r="K9" s="7" t="str"/>
      <x:c r="L9" t="str">
        <x:f>IF(OR(B9="",G9="",AND(K9&lt;&gt;"Active",K9&lt;&gt;"Waiting")),"",IF(G9&lt;TODAY(),"Overdue",IF(G9&lt;=TODAY()+7,"This week","Later")))</x:f>
      </x:c>
    </x:row>
    <x:row r="10" ht="23" customHeight="1">
      <x:c r="A10" s="7"/>
      <x:c r="B10" s="7"/>
      <x:c r="C10" s="7"/>
      <x:c r="D10" s="7"/>
      <x:c r="E10" s="7"/>
      <x:c r="F10" s="8"/>
      <x:c r="G10" s="8"/>
      <x:c r="H10" s="7"/>
      <x:c r="I10" s="7"/>
      <x:c r="J10" s="7"/>
      <x:c r="K10" s="7"/>
      <x:c r="L10" t="str">
        <x:f>IF(OR(B10="",G10="",AND(K10&lt;&gt;"Active",K10&lt;&gt;"Waiting")),"",IF(G10&lt;TODAY(),"Overdue",IF(G10&lt;=TODAY()+7,"This week","Later")))</x:f>
      </x:c>
    </x:row>
    <x:row r="11" ht="23" customHeight="1">
      <x:c r="A11" s="7"/>
      <x:c r="B11" s="7"/>
      <x:c r="C11" s="7"/>
      <x:c r="D11" s="7"/>
      <x:c r="E11" s="7"/>
      <x:c r="F11" s="8"/>
      <x:c r="G11" s="8"/>
      <x:c r="H11" s="7"/>
      <x:c r="I11" s="7"/>
      <x:c r="J11" s="7"/>
      <x:c r="K11" s="7"/>
      <x:c r="L11" t="str">
        <x:f>IF(OR(B11="",G11="",AND(K11&lt;&gt;"Active",K11&lt;&gt;"Waiting")),"",IF(G11&lt;TODAY(),"Overdue",IF(G11&lt;=TODAY()+7,"This week","Later")))</x:f>
      </x:c>
    </x:row>
    <x:row r="12" ht="23" customHeight="1">
      <x:c r="A12" s="7"/>
      <x:c r="B12" s="7"/>
      <x:c r="C12" s="7"/>
      <x:c r="D12" s="7"/>
      <x:c r="E12" s="7"/>
      <x:c r="F12" s="8"/>
      <x:c r="G12" s="8"/>
      <x:c r="H12" s="7"/>
      <x:c r="I12" s="7"/>
      <x:c r="J12" s="7"/>
      <x:c r="K12" s="7"/>
      <x:c r="L12" t="str">
        <x:f>IF(OR(B12="",G12="",AND(K12&lt;&gt;"Active",K12&lt;&gt;"Waiting")),"",IF(G12&lt;TODAY(),"Overdue",IF(G12&lt;=TODAY()+7,"This week","Later")))</x:f>
      </x:c>
    </x:row>
    <x:row r="13" ht="23" customHeight="1">
      <x:c r="A13" s="7"/>
      <x:c r="B13" s="7"/>
      <x:c r="C13" s="7"/>
      <x:c r="D13" s="7"/>
      <x:c r="E13" s="7"/>
      <x:c r="F13" s="8"/>
      <x:c r="G13" s="8"/>
      <x:c r="H13" s="7"/>
      <x:c r="I13" s="7"/>
      <x:c r="J13" s="7"/>
      <x:c r="K13" s="7"/>
      <x:c r="L13" t="str">
        <x:f>IF(OR(B13="",G13="",AND(K13&lt;&gt;"Active",K13&lt;&gt;"Waiting")),"",IF(G13&lt;TODAY(),"Overdue",IF(G13&lt;=TODAY()+7,"This week","Later")))</x:f>
      </x:c>
    </x:row>
    <x:row r="14" ht="23" customHeight="1">
      <x:c r="A14" s="7"/>
      <x:c r="B14" s="7"/>
      <x:c r="C14" s="7"/>
      <x:c r="D14" s="7"/>
      <x:c r="E14" s="7"/>
      <x:c r="F14" s="8"/>
      <x:c r="G14" s="8"/>
      <x:c r="H14" s="7"/>
      <x:c r="I14" s="7"/>
      <x:c r="J14" s="7"/>
      <x:c r="K14" s="7"/>
      <x:c r="L14" t="str">
        <x:f>IF(OR(B14="",G14="",AND(K14&lt;&gt;"Active",K14&lt;&gt;"Waiting")),"",IF(G14&lt;TODAY(),"Overdue",IF(G14&lt;=TODAY()+7,"This week","Later")))</x:f>
      </x:c>
    </x:row>
    <x:row r="15" ht="23" customHeight="1">
      <x:c r="A15" s="7"/>
      <x:c r="B15" s="7"/>
      <x:c r="C15" s="7"/>
      <x:c r="D15" s="7"/>
      <x:c r="E15" s="7"/>
      <x:c r="F15" s="8"/>
      <x:c r="G15" s="8"/>
      <x:c r="H15" s="7"/>
      <x:c r="I15" s="7"/>
      <x:c r="J15" s="7"/>
      <x:c r="K15" s="7"/>
      <x:c r="L15" t="str">
        <x:f>IF(OR(B15="",G15="",AND(K15&lt;&gt;"Active",K15&lt;&gt;"Waiting")),"",IF(G15&lt;TODAY(),"Overdue",IF(G15&lt;=TODAY()+7,"This week","Later")))</x:f>
      </x:c>
    </x:row>
    <x:row r="16" ht="23" customHeight="1">
      <x:c r="A16" s="7"/>
      <x:c r="B16" s="7"/>
      <x:c r="C16" s="7"/>
      <x:c r="D16" s="7"/>
      <x:c r="E16" s="7"/>
      <x:c r="F16" s="8"/>
      <x:c r="G16" s="8"/>
      <x:c r="H16" s="7"/>
      <x:c r="I16" s="7"/>
      <x:c r="J16" s="7"/>
      <x:c r="K16" s="7"/>
      <x:c r="L16" t="str">
        <x:f>IF(OR(B16="",G16="",AND(K16&lt;&gt;"Active",K16&lt;&gt;"Waiting")),"",IF(G16&lt;TODAY(),"Overdue",IF(G16&lt;=TODAY()+7,"This week","Later")))</x:f>
      </x:c>
    </x:row>
    <x:row r="17" ht="23" customHeight="1">
      <x:c r="A17" s="7"/>
      <x:c r="B17" s="7"/>
      <x:c r="C17" s="7"/>
      <x:c r="D17" s="7"/>
      <x:c r="E17" s="7"/>
      <x:c r="F17" s="8"/>
      <x:c r="G17" s="8"/>
      <x:c r="H17" s="7"/>
      <x:c r="I17" s="7"/>
      <x:c r="J17" s="7"/>
      <x:c r="K17" s="7"/>
      <x:c r="L17" t="str">
        <x:f>IF(OR(B17="",G17="",AND(K17&lt;&gt;"Active",K17&lt;&gt;"Waiting")),"",IF(G17&lt;TODAY(),"Overdue",IF(G17&lt;=TODAY()+7,"This week","Later")))</x:f>
      </x:c>
    </x:row>
    <x:row r="18" ht="23" customHeight="1">
      <x:c r="A18" s="7"/>
      <x:c r="B18" s="7"/>
      <x:c r="C18" s="7"/>
      <x:c r="D18" s="7"/>
      <x:c r="E18" s="7"/>
      <x:c r="F18" s="8"/>
      <x:c r="G18" s="8"/>
      <x:c r="H18" s="7"/>
      <x:c r="I18" s="7"/>
      <x:c r="J18" s="7"/>
      <x:c r="K18" s="7"/>
      <x:c r="L18" t="str">
        <x:f>IF(OR(B18="",G18="",AND(K18&lt;&gt;"Active",K18&lt;&gt;"Waiting")),"",IF(G18&lt;TODAY(),"Overdue",IF(G18&lt;=TODAY()+7,"This week","Later")))</x:f>
      </x:c>
    </x:row>
    <x:row r="19" ht="23" customHeight="1">
      <x:c r="A19" s="7"/>
      <x:c r="B19" s="7"/>
      <x:c r="C19" s="7"/>
      <x:c r="D19" s="7"/>
      <x:c r="E19" s="7"/>
      <x:c r="F19" s="8"/>
      <x:c r="G19" s="8"/>
      <x:c r="H19" s="7"/>
      <x:c r="I19" s="7"/>
      <x:c r="J19" s="7"/>
      <x:c r="K19" s="7"/>
      <x:c r="L19" t="str">
        <x:f>IF(OR(B19="",G19="",AND(K19&lt;&gt;"Active",K19&lt;&gt;"Waiting")),"",IF(G19&lt;TODAY(),"Overdue",IF(G19&lt;=TODAY()+7,"This week","Later")))</x:f>
      </x:c>
    </x:row>
    <x:row r="20" ht="23" customHeight="1">
      <x:c r="A20" s="7"/>
      <x:c r="B20" s="7"/>
      <x:c r="C20" s="7"/>
      <x:c r="D20" s="7"/>
      <x:c r="E20" s="7"/>
      <x:c r="F20" s="8"/>
      <x:c r="G20" s="8"/>
      <x:c r="H20" s="7"/>
      <x:c r="I20" s="7"/>
      <x:c r="J20" s="7"/>
      <x:c r="K20" s="7"/>
      <x:c r="L20" t="str">
        <x:f>IF(OR(B20="",G20="",AND(K20&lt;&gt;"Active",K20&lt;&gt;"Waiting")),"",IF(G20&lt;TODAY(),"Overdue",IF(G20&lt;=TODAY()+7,"This week","Later")))</x:f>
      </x:c>
    </x:row>
    <x:row r="21" ht="23" customHeight="1">
      <x:c r="A21" s="7"/>
      <x:c r="B21" s="7"/>
      <x:c r="C21" s="7"/>
      <x:c r="D21" s="7"/>
      <x:c r="E21" s="7"/>
      <x:c r="F21" s="8"/>
      <x:c r="G21" s="8"/>
      <x:c r="H21" s="7"/>
      <x:c r="I21" s="7"/>
      <x:c r="J21" s="7"/>
      <x:c r="K21" s="7"/>
      <x:c r="L21" t="str">
        <x:f>IF(OR(B21="",G21="",AND(K21&lt;&gt;"Active",K21&lt;&gt;"Waiting")),"",IF(G21&lt;TODAY(),"Overdue",IF(G21&lt;=TODAY()+7,"This week","Later")))</x:f>
      </x:c>
    </x:row>
    <x:row r="22" ht="23" customHeight="1">
      <x:c r="A22" s="7"/>
      <x:c r="B22" s="7"/>
      <x:c r="C22" s="7"/>
      <x:c r="D22" s="7"/>
      <x:c r="E22" s="7"/>
      <x:c r="F22" s="8"/>
      <x:c r="G22" s="8"/>
      <x:c r="H22" s="7"/>
      <x:c r="I22" s="7"/>
      <x:c r="J22" s="7"/>
      <x:c r="K22" s="7"/>
      <x:c r="L22" t="str">
        <x:f>IF(OR(B22="",G22="",AND(K22&lt;&gt;"Active",K22&lt;&gt;"Waiting")),"",IF(G22&lt;TODAY(),"Overdue",IF(G22&lt;=TODAY()+7,"This week","Later")))</x:f>
      </x:c>
    </x:row>
    <x:row r="23" ht="23" customHeight="1">
      <x:c r="A23" s="7"/>
      <x:c r="B23" s="7"/>
      <x:c r="C23" s="7"/>
      <x:c r="D23" s="7"/>
      <x:c r="E23" s="7"/>
      <x:c r="F23" s="8"/>
      <x:c r="G23" s="8"/>
      <x:c r="H23" s="7"/>
      <x:c r="I23" s="7"/>
      <x:c r="J23" s="7"/>
      <x:c r="K23" s="7"/>
      <x:c r="L23" t="str">
        <x:f>IF(OR(B23="",G23="",AND(K23&lt;&gt;"Active",K23&lt;&gt;"Waiting")),"",IF(G23&lt;TODAY(),"Overdue",IF(G23&lt;=TODAY()+7,"This week","Later")))</x:f>
      </x:c>
    </x:row>
    <x:row r="24" ht="23" customHeight="1">
      <x:c r="A24" s="7"/>
      <x:c r="B24" s="7"/>
      <x:c r="C24" s="7"/>
      <x:c r="D24" s="7"/>
      <x:c r="E24" s="7"/>
      <x:c r="F24" s="8"/>
      <x:c r="G24" s="8"/>
      <x:c r="H24" s="7"/>
      <x:c r="I24" s="7"/>
      <x:c r="J24" s="7"/>
      <x:c r="K24" s="7"/>
      <x:c r="L24" t="str">
        <x:f>IF(OR(B24="",G24="",AND(K24&lt;&gt;"Active",K24&lt;&gt;"Waiting")),"",IF(G24&lt;TODAY(),"Overdue",IF(G24&lt;=TODAY()+7,"This week","Later")))</x:f>
      </x:c>
    </x:row>
    <x:row r="25" ht="23" customHeight="1">
      <x:c r="A25" s="7"/>
      <x:c r="B25" s="7"/>
      <x:c r="C25" s="7"/>
      <x:c r="D25" s="7"/>
      <x:c r="E25" s="7"/>
      <x:c r="F25" s="8"/>
      <x:c r="G25" s="8"/>
      <x:c r="H25" s="7"/>
      <x:c r="I25" s="7"/>
      <x:c r="J25" s="7"/>
      <x:c r="K25" s="7"/>
      <x:c r="L25" t="str">
        <x:f>IF(OR(B25="",G25="",AND(K25&lt;&gt;"Active",K25&lt;&gt;"Waiting")),"",IF(G25&lt;TODAY(),"Overdue",IF(G25&lt;=TODAY()+7,"This week","Later")))</x:f>
      </x:c>
    </x:row>
    <x:row r="26" ht="23" customHeight="1">
      <x:c r="A26" s="7"/>
      <x:c r="B26" s="7"/>
      <x:c r="C26" s="7"/>
      <x:c r="D26" s="7"/>
      <x:c r="E26" s="7"/>
      <x:c r="F26" s="8"/>
      <x:c r="G26" s="8"/>
      <x:c r="H26" s="7"/>
      <x:c r="I26" s="7"/>
      <x:c r="J26" s="7"/>
      <x:c r="K26" s="7"/>
      <x:c r="L26" t="str">
        <x:f>IF(OR(B26="",G26="",AND(K26&lt;&gt;"Active",K26&lt;&gt;"Waiting")),"",IF(G26&lt;TODAY(),"Overdue",IF(G26&lt;=TODAY()+7,"This week","Later")))</x:f>
      </x:c>
    </x:row>
    <x:row r="27" ht="23" customHeight="1">
      <x:c r="A27" s="7"/>
      <x:c r="B27" s="7"/>
      <x:c r="C27" s="7"/>
      <x:c r="D27" s="7"/>
      <x:c r="E27" s="7"/>
      <x:c r="F27" s="8"/>
      <x:c r="G27" s="8"/>
      <x:c r="H27" s="7"/>
      <x:c r="I27" s="7"/>
      <x:c r="J27" s="7"/>
      <x:c r="K27" s="7"/>
      <x:c r="L27" t="str">
        <x:f>IF(OR(B27="",G27="",AND(K27&lt;&gt;"Active",K27&lt;&gt;"Waiting")),"",IF(G27&lt;TODAY(),"Overdue",IF(G27&lt;=TODAY()+7,"This week","Later")))</x:f>
      </x:c>
    </x:row>
    <x:row r="28" ht="23" customHeight="1">
      <x:c r="A28" s="7"/>
      <x:c r="B28" s="7"/>
      <x:c r="C28" s="7"/>
      <x:c r="D28" s="7"/>
      <x:c r="E28" s="7"/>
      <x:c r="F28" s="8"/>
      <x:c r="G28" s="8"/>
      <x:c r="H28" s="7"/>
      <x:c r="I28" s="7"/>
      <x:c r="J28" s="7"/>
      <x:c r="K28" s="7"/>
      <x:c r="L28" t="str">
        <x:f>IF(OR(B28="",G28="",AND(K28&lt;&gt;"Active",K28&lt;&gt;"Waiting")),"",IF(G28&lt;TODAY(),"Overdue",IF(G28&lt;=TODAY()+7,"This week","Later")))</x:f>
      </x:c>
    </x:row>
    <x:row r="29" ht="23" customHeight="1">
      <x:c r="A29" s="7"/>
      <x:c r="B29" s="7"/>
      <x:c r="C29" s="7"/>
      <x:c r="D29" s="7"/>
      <x:c r="E29" s="7"/>
      <x:c r="F29" s="8"/>
      <x:c r="G29" s="8"/>
      <x:c r="H29" s="7"/>
      <x:c r="I29" s="7"/>
      <x:c r="J29" s="7"/>
      <x:c r="K29" s="7"/>
      <x:c r="L29" t="str">
        <x:f>IF(OR(B29="",G29="",AND(K29&lt;&gt;"Active",K29&lt;&gt;"Waiting")),"",IF(G29&lt;TODAY(),"Overdue",IF(G29&lt;=TODAY()+7,"This week","Later")))</x:f>
      </x:c>
    </x:row>
    <x:row r="30" ht="23" customHeight="1">
      <x:c r="A30" s="7"/>
      <x:c r="B30" s="7"/>
      <x:c r="C30" s="7"/>
      <x:c r="D30" s="7"/>
      <x:c r="E30" s="7"/>
      <x:c r="F30" s="8"/>
      <x:c r="G30" s="8"/>
      <x:c r="H30" s="7"/>
      <x:c r="I30" s="7"/>
      <x:c r="J30" s="7"/>
      <x:c r="K30" s="7"/>
      <x:c r="L30" t="str">
        <x:f>IF(OR(B30="",G30="",AND(K30&lt;&gt;"Active",K30&lt;&gt;"Waiting")),"",IF(G30&lt;TODAY(),"Overdue",IF(G30&lt;=TODAY()+7,"This week","Later")))</x:f>
      </x:c>
    </x:row>
    <x:row r="31" ht="23" customHeight="1">
      <x:c r="A31" s="7"/>
      <x:c r="B31" s="7"/>
      <x:c r="C31" s="7"/>
      <x:c r="D31" s="7"/>
      <x:c r="E31" s="7"/>
      <x:c r="F31" s="8"/>
      <x:c r="G31" s="8"/>
      <x:c r="H31" s="7"/>
      <x:c r="I31" s="7"/>
      <x:c r="J31" s="7"/>
      <x:c r="K31" s="7"/>
      <x:c r="L31" t="str">
        <x:f>IF(OR(B31="",G31="",AND(K31&lt;&gt;"Active",K31&lt;&gt;"Waiting")),"",IF(G31&lt;TODAY(),"Overdue",IF(G31&lt;=TODAY()+7,"This week","Later")))</x:f>
      </x:c>
    </x:row>
    <x:row r="32" ht="23" customHeight="1">
      <x:c r="A32" s="7"/>
      <x:c r="B32" s="7"/>
      <x:c r="C32" s="7"/>
      <x:c r="D32" s="7"/>
      <x:c r="E32" s="7"/>
      <x:c r="F32" s="8"/>
      <x:c r="G32" s="8"/>
      <x:c r="H32" s="7"/>
      <x:c r="I32" s="7"/>
      <x:c r="J32" s="7"/>
      <x:c r="K32" s="7"/>
      <x:c r="L32" t="str">
        <x:f>IF(OR(B32="",G32="",AND(K32&lt;&gt;"Active",K32&lt;&gt;"Waiting")),"",IF(G32&lt;TODAY(),"Overdue",IF(G32&lt;=TODAY()+7,"This week","Later")))</x:f>
      </x:c>
    </x:row>
    <x:row r="33" ht="23" customHeight="1">
      <x:c r="A33" s="7"/>
      <x:c r="B33" s="7"/>
      <x:c r="C33" s="7"/>
      <x:c r="D33" s="7"/>
      <x:c r="E33" s="7"/>
      <x:c r="F33" s="8"/>
      <x:c r="G33" s="8"/>
      <x:c r="H33" s="7"/>
      <x:c r="I33" s="7"/>
      <x:c r="J33" s="7"/>
      <x:c r="K33" s="7"/>
      <x:c r="L33" t="str">
        <x:f>IF(OR(B33="",G33="",AND(K33&lt;&gt;"Active",K33&lt;&gt;"Waiting")),"",IF(G33&lt;TODAY(),"Overdue",IF(G33&lt;=TODAY()+7,"This week","Later")))</x:f>
      </x:c>
    </x:row>
    <x:row r="34" ht="23" customHeight="1">
      <x:c r="A34" s="7"/>
      <x:c r="B34" s="7"/>
      <x:c r="C34" s="7"/>
      <x:c r="D34" s="7"/>
      <x:c r="E34" s="7"/>
      <x:c r="F34" s="8"/>
      <x:c r="G34" s="8"/>
      <x:c r="H34" s="7"/>
      <x:c r="I34" s="7"/>
      <x:c r="J34" s="7"/>
      <x:c r="K34" s="7"/>
      <x:c r="L34" t="str">
        <x:f>IF(OR(B34="",G34="",AND(K34&lt;&gt;"Active",K34&lt;&gt;"Waiting")),"",IF(G34&lt;TODAY(),"Overdue",IF(G34&lt;=TODAY()+7,"This week","Later")))</x:f>
      </x:c>
    </x:row>
    <x:row r="35" ht="23" customHeight="1">
      <x:c r="A35" s="7"/>
      <x:c r="B35" s="7"/>
      <x:c r="C35" s="7"/>
      <x:c r="D35" s="7"/>
      <x:c r="E35" s="7"/>
      <x:c r="F35" s="8"/>
      <x:c r="G35" s="8"/>
      <x:c r="H35" s="7"/>
      <x:c r="I35" s="7"/>
      <x:c r="J35" s="7"/>
      <x:c r="K35" s="7"/>
      <x:c r="L35" t="str">
        <x:f>IF(OR(B35="",G35="",AND(K35&lt;&gt;"Active",K35&lt;&gt;"Waiting")),"",IF(G35&lt;TODAY(),"Overdue",IF(G35&lt;=TODAY()+7,"This week","Later")))</x:f>
      </x:c>
    </x:row>
    <x:row r="36" ht="23" customHeight="1">
      <x:c r="A36" s="7"/>
      <x:c r="B36" s="7"/>
      <x:c r="C36" s="7"/>
      <x:c r="D36" s="7"/>
      <x:c r="E36" s="7"/>
      <x:c r="F36" s="8"/>
      <x:c r="G36" s="8"/>
      <x:c r="H36" s="7"/>
      <x:c r="I36" s="7"/>
      <x:c r="J36" s="7"/>
      <x:c r="K36" s="7"/>
      <x:c r="L36" t="str">
        <x:f>IF(OR(B36="",G36="",AND(K36&lt;&gt;"Active",K36&lt;&gt;"Waiting")),"",IF(G36&lt;TODAY(),"Overdue",IF(G36&lt;=TODAY()+7,"This week","Later")))</x:f>
      </x:c>
    </x:row>
    <x:row r="37" ht="23" customHeight="1">
      <x:c r="A37" s="7"/>
      <x:c r="B37" s="7"/>
      <x:c r="C37" s="7"/>
      <x:c r="D37" s="7"/>
      <x:c r="E37" s="7"/>
      <x:c r="F37" s="8"/>
      <x:c r="G37" s="8"/>
      <x:c r="H37" s="7"/>
      <x:c r="I37" s="7"/>
      <x:c r="J37" s="7"/>
      <x:c r="K37" s="7"/>
      <x:c r="L37" t="str">
        <x:f>IF(OR(B37="",G37="",AND(K37&lt;&gt;"Active",K37&lt;&gt;"Waiting")),"",IF(G37&lt;TODAY(),"Overdue",IF(G37&lt;=TODAY()+7,"This week","Later")))</x:f>
      </x:c>
    </x:row>
    <x:row r="38" ht="23" customHeight="1">
      <x:c r="A38" s="7"/>
      <x:c r="B38" s="7"/>
      <x:c r="C38" s="7"/>
      <x:c r="D38" s="7"/>
      <x:c r="E38" s="7"/>
      <x:c r="F38" s="8"/>
      <x:c r="G38" s="8"/>
      <x:c r="H38" s="7"/>
      <x:c r="I38" s="7"/>
      <x:c r="J38" s="7"/>
      <x:c r="K38" s="7"/>
      <x:c r="L38" t="str">
        <x:f>IF(OR(B38="",G38="",AND(K38&lt;&gt;"Active",K38&lt;&gt;"Waiting")),"",IF(G38&lt;TODAY(),"Overdue",IF(G38&lt;=TODAY()+7,"This week","Later")))</x:f>
      </x:c>
    </x:row>
    <x:row r="39" ht="23" customHeight="1">
      <x:c r="A39" s="7"/>
      <x:c r="B39" s="7"/>
      <x:c r="C39" s="7"/>
      <x:c r="D39" s="7"/>
      <x:c r="E39" s="7"/>
      <x:c r="F39" s="8"/>
      <x:c r="G39" s="8"/>
      <x:c r="H39" s="7"/>
      <x:c r="I39" s="7"/>
      <x:c r="J39" s="7"/>
      <x:c r="K39" s="7"/>
      <x:c r="L39" t="str">
        <x:f>IF(OR(B39="",G39="",AND(K39&lt;&gt;"Active",K39&lt;&gt;"Waiting")),"",IF(G39&lt;TODAY(),"Overdue",IF(G39&lt;=TODAY()+7,"This week","Later")))</x:f>
      </x:c>
    </x:row>
    <x:row r="40" ht="23" customHeight="1">
      <x:c r="A40" s="7"/>
      <x:c r="B40" s="7"/>
      <x:c r="C40" s="7"/>
      <x:c r="D40" s="7"/>
      <x:c r="E40" s="7"/>
      <x:c r="F40" s="8"/>
      <x:c r="G40" s="8"/>
      <x:c r="H40" s="7"/>
      <x:c r="I40" s="7"/>
      <x:c r="J40" s="7"/>
      <x:c r="K40" s="7"/>
      <x:c r="L40" t="str">
        <x:f>IF(OR(B40="",G40="",AND(K40&lt;&gt;"Active",K40&lt;&gt;"Waiting")),"",IF(G40&lt;TODAY(),"Overdue",IF(G40&lt;=TODAY()+7,"This week","Later")))</x:f>
      </x:c>
    </x:row>
    <x:row r="41" ht="23" customHeight="1">
      <x:c r="A41" s="7"/>
      <x:c r="B41" s="7"/>
      <x:c r="C41" s="7"/>
      <x:c r="D41" s="7"/>
      <x:c r="E41" s="7"/>
      <x:c r="F41" s="8"/>
      <x:c r="G41" s="8"/>
      <x:c r="H41" s="7"/>
      <x:c r="I41" s="7"/>
      <x:c r="J41" s="7"/>
      <x:c r="K41" s="7"/>
      <x:c r="L41" t="str">
        <x:f>IF(OR(B41="",G41="",AND(K41&lt;&gt;"Active",K41&lt;&gt;"Waiting")),"",IF(G41&lt;TODAY(),"Overdue",IF(G41&lt;=TODAY()+7,"This week","Later")))</x:f>
      </x:c>
    </x:row>
    <x:row r="42" ht="23" customHeight="1">
      <x:c r="A42" s="7"/>
      <x:c r="B42" s="7"/>
      <x:c r="C42" s="7"/>
      <x:c r="D42" s="7"/>
      <x:c r="E42" s="7"/>
      <x:c r="F42" s="8"/>
      <x:c r="G42" s="8"/>
      <x:c r="H42" s="7"/>
      <x:c r="I42" s="7"/>
      <x:c r="J42" s="7"/>
      <x:c r="K42" s="7"/>
      <x:c r="L42" t="str">
        <x:f>IF(OR(B42="",G42="",AND(K42&lt;&gt;"Active",K42&lt;&gt;"Waiting")),"",IF(G42&lt;TODAY(),"Overdue",IF(G42&lt;=TODAY()+7,"This week","Later")))</x:f>
      </x:c>
    </x:row>
    <x:row r="43" ht="23" customHeight="1">
      <x:c r="A43" s="7"/>
      <x:c r="B43" s="7"/>
      <x:c r="C43" s="7"/>
      <x:c r="D43" s="7"/>
      <x:c r="E43" s="7"/>
      <x:c r="F43" s="8"/>
      <x:c r="G43" s="8"/>
      <x:c r="H43" s="7"/>
      <x:c r="I43" s="7"/>
      <x:c r="J43" s="7"/>
      <x:c r="K43" s="7"/>
      <x:c r="L43" t="str">
        <x:f>IF(OR(B43="",G43="",AND(K43&lt;&gt;"Active",K43&lt;&gt;"Waiting")),"",IF(G43&lt;TODAY(),"Overdue",IF(G43&lt;=TODAY()+7,"This week","Later")))</x:f>
      </x:c>
    </x:row>
    <x:row r="44" ht="23" customHeight="1">
      <x:c r="A44" s="7"/>
      <x:c r="B44" s="7"/>
      <x:c r="C44" s="7"/>
      <x:c r="D44" s="7"/>
      <x:c r="E44" s="7"/>
      <x:c r="F44" s="8"/>
      <x:c r="G44" s="8"/>
      <x:c r="H44" s="7"/>
      <x:c r="I44" s="7"/>
      <x:c r="J44" s="7"/>
      <x:c r="K44" s="7"/>
      <x:c r="L44" t="str">
        <x:f>IF(OR(B44="",G44="",AND(K44&lt;&gt;"Active",K44&lt;&gt;"Waiting")),"",IF(G44&lt;TODAY(),"Overdue",IF(G44&lt;=TODAY()+7,"This week","Later")))</x:f>
      </x:c>
    </x:row>
    <x:row r="45" ht="23" customHeight="1">
      <x:c r="A45" s="7"/>
      <x:c r="B45" s="7"/>
      <x:c r="C45" s="7"/>
      <x:c r="D45" s="7"/>
      <x:c r="E45" s="7"/>
      <x:c r="F45" s="8"/>
      <x:c r="G45" s="8"/>
      <x:c r="H45" s="7"/>
      <x:c r="I45" s="7"/>
      <x:c r="J45" s="7"/>
      <x:c r="K45" s="7"/>
      <x:c r="L45" t="str">
        <x:f>IF(OR(B45="",G45="",AND(K45&lt;&gt;"Active",K45&lt;&gt;"Waiting")),"",IF(G45&lt;TODAY(),"Overdue",IF(G45&lt;=TODAY()+7,"This week","Later")))</x:f>
      </x:c>
    </x:row>
    <x:row r="46" ht="23" customHeight="1">
      <x:c r="A46" s="7"/>
      <x:c r="B46" s="7"/>
      <x:c r="C46" s="7"/>
      <x:c r="D46" s="7"/>
      <x:c r="E46" s="7"/>
      <x:c r="F46" s="8"/>
      <x:c r="G46" s="8"/>
      <x:c r="H46" s="7"/>
      <x:c r="I46" s="7"/>
      <x:c r="J46" s="7"/>
      <x:c r="K46" s="7"/>
      <x:c r="L46" t="str">
        <x:f>IF(OR(B46="",G46="",AND(K46&lt;&gt;"Active",K46&lt;&gt;"Waiting")),"",IF(G46&lt;TODAY(),"Overdue",IF(G46&lt;=TODAY()+7,"This week","Later")))</x:f>
      </x:c>
    </x:row>
    <x:row r="47" ht="23" customHeight="1">
      <x:c r="A47" s="7"/>
      <x:c r="B47" s="7"/>
      <x:c r="C47" s="7"/>
      <x:c r="D47" s="7"/>
      <x:c r="E47" s="7"/>
      <x:c r="F47" s="8"/>
      <x:c r="G47" s="8"/>
      <x:c r="H47" s="7"/>
      <x:c r="I47" s="7"/>
      <x:c r="J47" s="7"/>
      <x:c r="K47" s="7"/>
      <x:c r="L47" t="str">
        <x:f>IF(OR(B47="",G47="",AND(K47&lt;&gt;"Active",K47&lt;&gt;"Waiting")),"",IF(G47&lt;TODAY(),"Overdue",IF(G47&lt;=TODAY()+7,"This week","Later")))</x:f>
      </x:c>
    </x:row>
    <x:row r="48" ht="23" customHeight="1">
      <x:c r="A48" s="7"/>
      <x:c r="B48" s="7"/>
      <x:c r="C48" s="7"/>
      <x:c r="D48" s="7"/>
      <x:c r="E48" s="7"/>
      <x:c r="F48" s="8"/>
      <x:c r="G48" s="8"/>
      <x:c r="H48" s="7"/>
      <x:c r="I48" s="7"/>
      <x:c r="J48" s="7"/>
      <x:c r="K48" s="7"/>
      <x:c r="L48" t="str">
        <x:f>IF(OR(B48="",G48="",AND(K48&lt;&gt;"Active",K48&lt;&gt;"Waiting")),"",IF(G48&lt;TODAY(),"Overdue",IF(G48&lt;=TODAY()+7,"This week","Later")))</x:f>
      </x:c>
    </x:row>
    <x:row r="49" ht="23" customHeight="1">
      <x:c r="A49" s="7"/>
      <x:c r="B49" s="7"/>
      <x:c r="C49" s="7"/>
      <x:c r="D49" s="7"/>
      <x:c r="E49" s="7"/>
      <x:c r="F49" s="8"/>
      <x:c r="G49" s="8"/>
      <x:c r="H49" s="7"/>
      <x:c r="I49" s="7"/>
      <x:c r="J49" s="7"/>
      <x:c r="K49" s="7"/>
      <x:c r="L49" t="str">
        <x:f>IF(OR(B49="",G49="",AND(K49&lt;&gt;"Active",K49&lt;&gt;"Waiting")),"",IF(G49&lt;TODAY(),"Overdue",IF(G49&lt;=TODAY()+7,"This week","Later")))</x:f>
      </x:c>
    </x:row>
    <x:row r="50" ht="23" customHeight="1">
      <x:c r="A50" s="7"/>
      <x:c r="B50" s="7"/>
      <x:c r="C50" s="7"/>
      <x:c r="D50" s="7"/>
      <x:c r="E50" s="7"/>
      <x:c r="F50" s="8"/>
      <x:c r="G50" s="8"/>
      <x:c r="H50" s="7"/>
      <x:c r="I50" s="7"/>
      <x:c r="J50" s="7"/>
      <x:c r="K50" s="7"/>
      <x:c r="L50" t="str">
        <x:f>IF(OR(B50="",G50="",AND(K50&lt;&gt;"Active",K50&lt;&gt;"Waiting")),"",IF(G50&lt;TODAY(),"Overdue",IF(G50&lt;=TODAY()+7,"This week","Later")))</x:f>
      </x:c>
    </x:row>
    <x:row r="51" ht="23" customHeight="1">
      <x:c r="A51" s="7"/>
      <x:c r="B51" s="7"/>
      <x:c r="C51" s="7"/>
      <x:c r="D51" s="7"/>
      <x:c r="E51" s="7"/>
      <x:c r="F51" s="8"/>
      <x:c r="G51" s="8"/>
      <x:c r="H51" s="7"/>
      <x:c r="I51" s="7"/>
      <x:c r="J51" s="7"/>
      <x:c r="K51" s="7"/>
      <x:c r="L51" t="str">
        <x:f>IF(OR(B51="",G51="",AND(K51&lt;&gt;"Active",K51&lt;&gt;"Waiting")),"",IF(G51&lt;TODAY(),"Overdue",IF(G51&lt;=TODAY()+7,"This week","Later")))</x:f>
      </x:c>
    </x:row>
    <x:row r="52" ht="23" customHeight="1">
      <x:c r="A52" s="7"/>
      <x:c r="B52" s="7"/>
      <x:c r="C52" s="7"/>
      <x:c r="D52" s="7"/>
      <x:c r="E52" s="7"/>
      <x:c r="F52" s="8"/>
      <x:c r="G52" s="8"/>
      <x:c r="H52" s="7"/>
      <x:c r="I52" s="7"/>
      <x:c r="J52" s="7"/>
      <x:c r="K52" s="7"/>
      <x:c r="L52" t="str">
        <x:f>IF(OR(B52="",G52="",AND(K52&lt;&gt;"Active",K52&lt;&gt;"Waiting")),"",IF(G52&lt;TODAY(),"Overdue",IF(G52&lt;=TODAY()+7,"This week","Later")))</x:f>
      </x:c>
    </x:row>
    <x:row r="53" ht="23" customHeight="1">
      <x:c r="A53" s="7"/>
      <x:c r="B53" s="7"/>
      <x:c r="C53" s="7"/>
      <x:c r="D53" s="7"/>
      <x:c r="E53" s="7"/>
      <x:c r="F53" s="8"/>
      <x:c r="G53" s="8"/>
      <x:c r="H53" s="7"/>
      <x:c r="I53" s="7"/>
      <x:c r="J53" s="7"/>
      <x:c r="K53" s="7"/>
      <x:c r="L53" t="str">
        <x:f>IF(OR(B53="",G53="",AND(K53&lt;&gt;"Active",K53&lt;&gt;"Waiting")),"",IF(G53&lt;TODAY(),"Overdue",IF(G53&lt;=TODAY()+7,"This week","Later")))</x:f>
      </x:c>
    </x:row>
    <x:row r="54" ht="23" customHeight="1">
      <x:c r="A54" s="7"/>
      <x:c r="B54" s="7"/>
      <x:c r="C54" s="7"/>
      <x:c r="D54" s="7"/>
      <x:c r="E54" s="7"/>
      <x:c r="F54" s="8"/>
      <x:c r="G54" s="8"/>
      <x:c r="H54" s="7"/>
      <x:c r="I54" s="7"/>
      <x:c r="J54" s="7"/>
      <x:c r="K54" s="7"/>
      <x:c r="L54" t="str">
        <x:f>IF(OR(B54="",G54="",AND(K54&lt;&gt;"Active",K54&lt;&gt;"Waiting")),"",IF(G54&lt;TODAY(),"Overdue",IF(G54&lt;=TODAY()+7,"This week","Later")))</x:f>
      </x:c>
    </x:row>
    <x:row r="55" ht="23" customHeight="1">
      <x:c r="A55" s="7"/>
      <x:c r="B55" s="7"/>
      <x:c r="C55" s="7"/>
      <x:c r="D55" s="7"/>
      <x:c r="E55" s="7"/>
      <x:c r="F55" s="8"/>
      <x:c r="G55" s="8"/>
      <x:c r="H55" s="7"/>
      <x:c r="I55" s="7"/>
      <x:c r="J55" s="7"/>
      <x:c r="K55" s="7"/>
      <x:c r="L55" t="str">
        <x:f>IF(OR(B55="",G55="",AND(K55&lt;&gt;"Active",K55&lt;&gt;"Waiting")),"",IF(G55&lt;TODAY(),"Overdue",IF(G55&lt;=TODAY()+7,"This week","Later")))</x:f>
      </x:c>
    </x:row>
    <x:row r="56" ht="23" customHeight="1">
      <x:c r="A56" s="7"/>
      <x:c r="B56" s="7"/>
      <x:c r="C56" s="7"/>
      <x:c r="D56" s="7"/>
      <x:c r="E56" s="7"/>
      <x:c r="F56" s="8"/>
      <x:c r="G56" s="8"/>
      <x:c r="H56" s="7"/>
      <x:c r="I56" s="7"/>
      <x:c r="J56" s="7"/>
      <x:c r="K56" s="7"/>
      <x:c r="L56" t="str">
        <x:f>IF(OR(B56="",G56="",AND(K56&lt;&gt;"Active",K56&lt;&gt;"Waiting")),"",IF(G56&lt;TODAY(),"Overdue",IF(G56&lt;=TODAY()+7,"This week","Later")))</x:f>
      </x:c>
    </x:row>
    <x:row r="57" ht="23" customHeight="1">
      <x:c r="A57" s="7"/>
      <x:c r="B57" s="7"/>
      <x:c r="C57" s="7"/>
      <x:c r="D57" s="7"/>
      <x:c r="E57" s="7"/>
      <x:c r="F57" s="8"/>
      <x:c r="G57" s="8"/>
      <x:c r="H57" s="7"/>
      <x:c r="I57" s="7"/>
      <x:c r="J57" s="7"/>
      <x:c r="K57" s="7"/>
      <x:c r="L57" t="str">
        <x:f>IF(OR(B57="",G57="",AND(K57&lt;&gt;"Active",K57&lt;&gt;"Waiting")),"",IF(G57&lt;TODAY(),"Overdue",IF(G57&lt;=TODAY()+7,"This week","Later")))</x:f>
      </x:c>
    </x:row>
    <x:row r="58" ht="23" customHeight="1">
      <x:c r="A58" s="7"/>
      <x:c r="B58" s="7"/>
      <x:c r="C58" s="7"/>
      <x:c r="D58" s="7"/>
      <x:c r="E58" s="7"/>
      <x:c r="F58" s="8"/>
      <x:c r="G58" s="8"/>
      <x:c r="H58" s="7"/>
      <x:c r="I58" s="7"/>
      <x:c r="J58" s="7"/>
      <x:c r="K58" s="7"/>
      <x:c r="L58" t="str">
        <x:f>IF(OR(B58="",G58="",AND(K58&lt;&gt;"Active",K58&lt;&gt;"Waiting")),"",IF(G58&lt;TODAY(),"Overdue",IF(G58&lt;=TODAY()+7,"This week","Later")))</x:f>
      </x:c>
    </x:row>
    <x:row r="59" ht="23" customHeight="1">
      <x:c r="A59" s="7"/>
      <x:c r="B59" s="7"/>
      <x:c r="C59" s="7"/>
      <x:c r="D59" s="7"/>
      <x:c r="E59" s="7"/>
      <x:c r="F59" s="8"/>
      <x:c r="G59" s="8"/>
      <x:c r="H59" s="7"/>
      <x:c r="I59" s="7"/>
      <x:c r="J59" s="7"/>
      <x:c r="K59" s="7"/>
      <x:c r="L59" t="str">
        <x:f>IF(OR(B59="",G59="",AND(K59&lt;&gt;"Active",K59&lt;&gt;"Waiting")),"",IF(G59&lt;TODAY(),"Overdue",IF(G59&lt;=TODAY()+7,"This week","Later")))</x:f>
      </x:c>
    </x:row>
    <x:row r="60" ht="23" customHeight="1">
      <x:c r="A60" s="7"/>
      <x:c r="B60" s="7"/>
      <x:c r="C60" s="7"/>
      <x:c r="D60" s="7"/>
      <x:c r="E60" s="7"/>
      <x:c r="F60" s="8"/>
      <x:c r="G60" s="8"/>
      <x:c r="H60" s="7"/>
      <x:c r="I60" s="7"/>
      <x:c r="J60" s="7"/>
      <x:c r="K60" s="7"/>
      <x:c r="L60" t="str">
        <x:f>IF(OR(B60="",G60="",AND(K60&lt;&gt;"Active",K60&lt;&gt;"Waiting")),"",IF(G60&lt;TODAY(),"Overdue",IF(G60&lt;=TODAY()+7,"This week","Later")))</x:f>
      </x:c>
    </x:row>
    <x:row r="61" ht="23" customHeight="1">
      <x:c r="A61" s="7"/>
      <x:c r="B61" s="7"/>
      <x:c r="C61" s="7"/>
      <x:c r="D61" s="7"/>
      <x:c r="E61" s="7"/>
      <x:c r="F61" s="8"/>
      <x:c r="G61" s="8"/>
      <x:c r="H61" s="7"/>
      <x:c r="I61" s="7"/>
      <x:c r="J61" s="7"/>
      <x:c r="K61" s="7"/>
      <x:c r="L61" t="str">
        <x:f>IF(OR(B61="",G61="",AND(K61&lt;&gt;"Active",K61&lt;&gt;"Waiting")),"",IF(G61&lt;TODAY(),"Overdue",IF(G61&lt;=TODAY()+7,"This week","Later")))</x:f>
      </x:c>
    </x:row>
    <x:row r="62" ht="23" customHeight="1">
      <x:c r="A62" s="7"/>
      <x:c r="B62" s="7"/>
      <x:c r="C62" s="7"/>
      <x:c r="D62" s="7"/>
      <x:c r="E62" s="7"/>
      <x:c r="F62" s="8"/>
      <x:c r="G62" s="8"/>
      <x:c r="H62" s="7"/>
      <x:c r="I62" s="7"/>
      <x:c r="J62" s="7"/>
      <x:c r="K62" s="7"/>
      <x:c r="L62" t="str">
        <x:f>IF(OR(B62="",G62="",AND(K62&lt;&gt;"Active",K62&lt;&gt;"Waiting")),"",IF(G62&lt;TODAY(),"Overdue",IF(G62&lt;=TODAY()+7,"This week","Later")))</x:f>
      </x:c>
    </x:row>
    <x:row r="63" ht="23" customHeight="1">
      <x:c r="A63" s="7"/>
      <x:c r="B63" s="7"/>
      <x:c r="C63" s="7"/>
      <x:c r="D63" s="7"/>
      <x:c r="E63" s="7"/>
      <x:c r="F63" s="8"/>
      <x:c r="G63" s="8"/>
      <x:c r="H63" s="7"/>
      <x:c r="I63" s="7"/>
      <x:c r="J63" s="7"/>
      <x:c r="K63" s="7"/>
      <x:c r="L63" t="str">
        <x:f>IF(OR(B63="",G63="",AND(K63&lt;&gt;"Active",K63&lt;&gt;"Waiting")),"",IF(G63&lt;TODAY(),"Overdue",IF(G63&lt;=TODAY()+7,"This week","Later")))</x:f>
      </x:c>
    </x:row>
    <x:row r="64" ht="23" customHeight="1">
      <x:c r="A64" s="7"/>
      <x:c r="B64" s="7"/>
      <x:c r="C64" s="7"/>
      <x:c r="D64" s="7"/>
      <x:c r="E64" s="7"/>
      <x:c r="F64" s="8"/>
      <x:c r="G64" s="8"/>
      <x:c r="H64" s="7"/>
      <x:c r="I64" s="7"/>
      <x:c r="J64" s="7"/>
      <x:c r="K64" s="7"/>
      <x:c r="L64" t="str">
        <x:f>IF(OR(B64="",G64="",AND(K64&lt;&gt;"Active",K64&lt;&gt;"Waiting")),"",IF(G64&lt;TODAY(),"Overdue",IF(G64&lt;=TODAY()+7,"This week","Later")))</x:f>
      </x:c>
    </x:row>
    <x:row r="65" ht="23" customHeight="1">
      <x:c r="A65" s="7"/>
      <x:c r="B65" s="7"/>
      <x:c r="C65" s="7"/>
      <x:c r="D65" s="7"/>
      <x:c r="E65" s="7"/>
      <x:c r="F65" s="8"/>
      <x:c r="G65" s="8"/>
      <x:c r="H65" s="7"/>
      <x:c r="I65" s="7"/>
      <x:c r="J65" s="7"/>
      <x:c r="K65" s="7"/>
      <x:c r="L65" t="str">
        <x:f>IF(OR(B65="",G65="",AND(K65&lt;&gt;"Active",K65&lt;&gt;"Waiting")),"",IF(G65&lt;TODAY(),"Overdue",IF(G65&lt;=TODAY()+7,"This week","Later")))</x:f>
      </x:c>
    </x:row>
    <x:row r="66" ht="23" customHeight="1">
      <x:c r="A66" s="7"/>
      <x:c r="B66" s="7"/>
      <x:c r="C66" s="7"/>
      <x:c r="D66" s="7"/>
      <x:c r="E66" s="7"/>
      <x:c r="F66" s="8"/>
      <x:c r="G66" s="8"/>
      <x:c r="H66" s="7"/>
      <x:c r="I66" s="7"/>
      <x:c r="J66" s="7"/>
      <x:c r="K66" s="7"/>
      <x:c r="L66" t="str">
        <x:f>IF(OR(B66="",G66="",AND(K66&lt;&gt;"Active",K66&lt;&gt;"Waiting")),"",IF(G66&lt;TODAY(),"Overdue",IF(G66&lt;=TODAY()+7,"This week","Later")))</x:f>
      </x:c>
    </x:row>
    <x:row r="67" ht="23" customHeight="1">
      <x:c r="A67" s="7"/>
      <x:c r="B67" s="7"/>
      <x:c r="C67" s="7"/>
      <x:c r="D67" s="7"/>
      <x:c r="E67" s="7"/>
      <x:c r="F67" s="8"/>
      <x:c r="G67" s="8"/>
      <x:c r="H67" s="7"/>
      <x:c r="I67" s="7"/>
      <x:c r="J67" s="7"/>
      <x:c r="K67" s="7"/>
      <x:c r="L67" t="str">
        <x:f>IF(OR(B67="",G67="",AND(K67&lt;&gt;"Active",K67&lt;&gt;"Waiting")),"",IF(G67&lt;TODAY(),"Overdue",IF(G67&lt;=TODAY()+7,"This week","Later")))</x:f>
      </x:c>
    </x:row>
    <x:row r="68" ht="23" customHeight="1">
      <x:c r="A68" s="7"/>
      <x:c r="B68" s="7"/>
      <x:c r="C68" s="7"/>
      <x:c r="D68" s="7"/>
      <x:c r="E68" s="7"/>
      <x:c r="F68" s="8"/>
      <x:c r="G68" s="8"/>
      <x:c r="H68" s="7"/>
      <x:c r="I68" s="7"/>
      <x:c r="J68" s="7"/>
      <x:c r="K68" s="7"/>
      <x:c r="L68" t="str">
        <x:f>IF(OR(B68="",G68="",AND(K68&lt;&gt;"Active",K68&lt;&gt;"Waiting")),"",IF(G68&lt;TODAY(),"Overdue",IF(G68&lt;=TODAY()+7,"This week","Later")))</x:f>
      </x:c>
    </x:row>
    <x:row r="69" ht="23" customHeight="1">
      <x:c r="A69" s="7"/>
      <x:c r="B69" s="7"/>
      <x:c r="C69" s="7"/>
      <x:c r="D69" s="7"/>
      <x:c r="E69" s="7"/>
      <x:c r="F69" s="8"/>
      <x:c r="G69" s="8"/>
      <x:c r="H69" s="7"/>
      <x:c r="I69" s="7"/>
      <x:c r="J69" s="7"/>
      <x:c r="K69" s="7"/>
      <x:c r="L69" t="str">
        <x:f>IF(OR(B69="",G69="",AND(K69&lt;&gt;"Active",K69&lt;&gt;"Waiting")),"",IF(G69&lt;TODAY(),"Overdue",IF(G69&lt;=TODAY()+7,"This week","Later")))</x:f>
      </x:c>
    </x:row>
    <x:row r="70" ht="23" customHeight="1">
      <x:c r="A70" s="7"/>
      <x:c r="B70" s="7"/>
      <x:c r="C70" s="7"/>
      <x:c r="D70" s="7"/>
      <x:c r="E70" s="7"/>
      <x:c r="F70" s="8"/>
      <x:c r="G70" s="8"/>
      <x:c r="H70" s="7"/>
      <x:c r="I70" s="7"/>
      <x:c r="J70" s="7"/>
      <x:c r="K70" s="7"/>
      <x:c r="L70" t="str">
        <x:f>IF(OR(B70="",G70="",AND(K70&lt;&gt;"Active",K70&lt;&gt;"Waiting")),"",IF(G70&lt;TODAY(),"Overdue",IF(G70&lt;=TODAY()+7,"This week","Later")))</x:f>
      </x:c>
    </x:row>
    <x:row r="71" ht="23" customHeight="1">
      <x:c r="A71" s="7"/>
      <x:c r="B71" s="7"/>
      <x:c r="C71" s="7"/>
      <x:c r="D71" s="7"/>
      <x:c r="E71" s="7"/>
      <x:c r="F71" s="8"/>
      <x:c r="G71" s="8"/>
      <x:c r="H71" s="7"/>
      <x:c r="I71" s="7"/>
      <x:c r="J71" s="7"/>
      <x:c r="K71" s="7"/>
      <x:c r="L71" t="str">
        <x:f>IF(OR(B71="",G71="",AND(K71&lt;&gt;"Active",K71&lt;&gt;"Waiting")),"",IF(G71&lt;TODAY(),"Overdue",IF(G71&lt;=TODAY()+7,"This week","Later")))</x:f>
      </x:c>
    </x:row>
    <x:row r="72" ht="23" customHeight="1">
      <x:c r="A72" s="7"/>
      <x:c r="B72" s="7"/>
      <x:c r="C72" s="7"/>
      <x:c r="D72" s="7"/>
      <x:c r="E72" s="7"/>
      <x:c r="F72" s="8"/>
      <x:c r="G72" s="8"/>
      <x:c r="H72" s="7"/>
      <x:c r="I72" s="7"/>
      <x:c r="J72" s="7"/>
      <x:c r="K72" s="7"/>
      <x:c r="L72" t="str">
        <x:f>IF(OR(B72="",G72="",AND(K72&lt;&gt;"Active",K72&lt;&gt;"Waiting")),"",IF(G72&lt;TODAY(),"Overdue",IF(G72&lt;=TODAY()+7,"This week","Later")))</x:f>
      </x:c>
    </x:row>
    <x:row r="73" ht="23" customHeight="1">
      <x:c r="A73" s="7"/>
      <x:c r="B73" s="7"/>
      <x:c r="C73" s="7"/>
      <x:c r="D73" s="7"/>
      <x:c r="E73" s="7"/>
      <x:c r="F73" s="8"/>
      <x:c r="G73" s="8"/>
      <x:c r="H73" s="7"/>
      <x:c r="I73" s="7"/>
      <x:c r="J73" s="7"/>
      <x:c r="K73" s="7"/>
      <x:c r="L73" t="str">
        <x:f>IF(OR(B73="",G73="",AND(K73&lt;&gt;"Active",K73&lt;&gt;"Waiting")),"",IF(G73&lt;TODAY(),"Overdue",IF(G73&lt;=TODAY()+7,"This week","Later")))</x:f>
      </x:c>
    </x:row>
    <x:row r="74" ht="23" customHeight="1">
      <x:c r="A74" s="7"/>
      <x:c r="B74" s="7"/>
      <x:c r="C74" s="7"/>
      <x:c r="D74" s="7"/>
      <x:c r="E74" s="7"/>
      <x:c r="F74" s="8"/>
      <x:c r="G74" s="8"/>
      <x:c r="H74" s="7"/>
      <x:c r="I74" s="7"/>
      <x:c r="J74" s="7"/>
      <x:c r="K74" s="7"/>
      <x:c r="L74" t="str">
        <x:f>IF(OR(B74="",G74="",AND(K74&lt;&gt;"Active",K74&lt;&gt;"Waiting")),"",IF(G74&lt;TODAY(),"Overdue",IF(G74&lt;=TODAY()+7,"This week","Later")))</x:f>
      </x:c>
    </x:row>
    <x:row r="75" ht="23" customHeight="1">
      <x:c r="A75" s="7"/>
      <x:c r="B75" s="7"/>
      <x:c r="C75" s="7"/>
      <x:c r="D75" s="7"/>
      <x:c r="E75" s="7"/>
      <x:c r="F75" s="8"/>
      <x:c r="G75" s="8"/>
      <x:c r="H75" s="7"/>
      <x:c r="I75" s="7"/>
      <x:c r="J75" s="7"/>
      <x:c r="K75" s="7"/>
      <x:c r="L75" t="str">
        <x:f>IF(OR(B75="",G75="",AND(K75&lt;&gt;"Active",K75&lt;&gt;"Waiting")),"",IF(G75&lt;TODAY(),"Overdue",IF(G75&lt;=TODAY()+7,"This week","Later")))</x:f>
      </x:c>
    </x:row>
    <x:row r="76" ht="23" customHeight="1">
      <x:c r="A76" s="7"/>
      <x:c r="B76" s="7"/>
      <x:c r="C76" s="7"/>
      <x:c r="D76" s="7"/>
      <x:c r="E76" s="7"/>
      <x:c r="F76" s="8"/>
      <x:c r="G76" s="8"/>
      <x:c r="H76" s="7"/>
      <x:c r="I76" s="7"/>
      <x:c r="J76" s="7"/>
      <x:c r="K76" s="7"/>
      <x:c r="L76" t="str">
        <x:f>IF(OR(B76="",G76="",AND(K76&lt;&gt;"Active",K76&lt;&gt;"Waiting")),"",IF(G76&lt;TODAY(),"Overdue",IF(G76&lt;=TODAY()+7,"This week","Later")))</x:f>
      </x:c>
    </x:row>
    <x:row r="77" ht="23" customHeight="1">
      <x:c r="A77" s="7"/>
      <x:c r="B77" s="7"/>
      <x:c r="C77" s="7"/>
      <x:c r="D77" s="7"/>
      <x:c r="E77" s="7"/>
      <x:c r="F77" s="8"/>
      <x:c r="G77" s="8"/>
      <x:c r="H77" s="7"/>
      <x:c r="I77" s="7"/>
      <x:c r="J77" s="7"/>
      <x:c r="K77" s="7"/>
      <x:c r="L77" t="str">
        <x:f>IF(OR(B77="",G77="",AND(K77&lt;&gt;"Active",K77&lt;&gt;"Waiting")),"",IF(G77&lt;TODAY(),"Overdue",IF(G77&lt;=TODAY()+7,"This week","Later")))</x:f>
      </x:c>
    </x:row>
    <x:row r="78" ht="23" customHeight="1">
      <x:c r="A78" s="7"/>
      <x:c r="B78" s="7"/>
      <x:c r="C78" s="7"/>
      <x:c r="D78" s="7"/>
      <x:c r="E78" s="7"/>
      <x:c r="F78" s="8"/>
      <x:c r="G78" s="8"/>
      <x:c r="H78" s="7"/>
      <x:c r="I78" s="7"/>
      <x:c r="J78" s="7"/>
      <x:c r="K78" s="7"/>
      <x:c r="L78" t="str">
        <x:f>IF(OR(B78="",G78="",AND(K78&lt;&gt;"Active",K78&lt;&gt;"Waiting")),"",IF(G78&lt;TODAY(),"Overdue",IF(G78&lt;=TODAY()+7,"This week","Later")))</x:f>
      </x:c>
    </x:row>
    <x:row r="79" ht="23" customHeight="1">
      <x:c r="A79" s="7"/>
      <x:c r="B79" s="7"/>
      <x:c r="C79" s="7"/>
      <x:c r="D79" s="7"/>
      <x:c r="E79" s="7"/>
      <x:c r="F79" s="8"/>
      <x:c r="G79" s="8"/>
      <x:c r="H79" s="7"/>
      <x:c r="I79" s="7"/>
      <x:c r="J79" s="7"/>
      <x:c r="K79" s="7"/>
      <x:c r="L79" t="str">
        <x:f>IF(OR(B79="",G79="",AND(K79&lt;&gt;"Active",K79&lt;&gt;"Waiting")),"",IF(G79&lt;TODAY(),"Overdue",IF(G79&lt;=TODAY()+7,"This week","Later")))</x:f>
      </x:c>
    </x:row>
    <x:row r="80" ht="23" customHeight="1">
      <x:c r="A80" s="7"/>
      <x:c r="B80" s="7"/>
      <x:c r="C80" s="7"/>
      <x:c r="D80" s="7"/>
      <x:c r="E80" s="7"/>
      <x:c r="F80" s="8"/>
      <x:c r="G80" s="8"/>
      <x:c r="H80" s="7"/>
      <x:c r="I80" s="7"/>
      <x:c r="J80" s="7"/>
      <x:c r="K80" s="7"/>
      <x:c r="L80" t="str">
        <x:f>IF(OR(B80="",G80="",AND(K80&lt;&gt;"Active",K80&lt;&gt;"Waiting")),"",IF(G80&lt;TODAY(),"Overdue",IF(G80&lt;=TODAY()+7,"This week","Later")))</x:f>
      </x:c>
    </x:row>
    <x:row r="81" ht="23" customHeight="1">
      <x:c r="A81" s="7"/>
      <x:c r="B81" s="7"/>
      <x:c r="C81" s="7"/>
      <x:c r="D81" s="7"/>
      <x:c r="E81" s="7"/>
      <x:c r="F81" s="8"/>
      <x:c r="G81" s="8"/>
      <x:c r="H81" s="7"/>
      <x:c r="I81" s="7"/>
      <x:c r="J81" s="7"/>
      <x:c r="K81" s="7"/>
      <x:c r="L81" t="str">
        <x:f>IF(OR(B81="",G81="",AND(K81&lt;&gt;"Active",K81&lt;&gt;"Waiting")),"",IF(G81&lt;TODAY(),"Overdue",IF(G81&lt;=TODAY()+7,"This week","Later")))</x:f>
      </x:c>
    </x:row>
    <x:row r="82" ht="23" customHeight="1">
      <x:c r="A82" s="7"/>
      <x:c r="B82" s="7"/>
      <x:c r="C82" s="7"/>
      <x:c r="D82" s="7"/>
      <x:c r="E82" s="7"/>
      <x:c r="F82" s="8"/>
      <x:c r="G82" s="8"/>
      <x:c r="H82" s="7"/>
      <x:c r="I82" s="7"/>
      <x:c r="J82" s="7"/>
      <x:c r="K82" s="7"/>
      <x:c r="L82" t="str">
        <x:f>IF(OR(B82="",G82="",AND(K82&lt;&gt;"Active",K82&lt;&gt;"Waiting")),"",IF(G82&lt;TODAY(),"Overdue",IF(G82&lt;=TODAY()+7,"This week","Later")))</x:f>
      </x:c>
    </x:row>
    <x:row r="83" ht="23" customHeight="1">
      <x:c r="A83" s="7"/>
      <x:c r="B83" s="7"/>
      <x:c r="C83" s="7"/>
      <x:c r="D83" s="7"/>
      <x:c r="E83" s="7"/>
      <x:c r="F83" s="8"/>
      <x:c r="G83" s="8"/>
      <x:c r="H83" s="7"/>
      <x:c r="I83" s="7"/>
      <x:c r="J83" s="7"/>
      <x:c r="K83" s="7"/>
      <x:c r="L83" t="str">
        <x:f>IF(OR(B83="",G83="",AND(K83&lt;&gt;"Active",K83&lt;&gt;"Waiting")),"",IF(G83&lt;TODAY(),"Overdue",IF(G83&lt;=TODAY()+7,"This week","Later")))</x:f>
      </x:c>
    </x:row>
    <x:row r="84" ht="23" customHeight="1">
      <x:c r="A84" s="7"/>
      <x:c r="B84" s="7"/>
      <x:c r="C84" s="7"/>
      <x:c r="D84" s="7"/>
      <x:c r="E84" s="7"/>
      <x:c r="F84" s="8"/>
      <x:c r="G84" s="8"/>
      <x:c r="H84" s="7"/>
      <x:c r="I84" s="7"/>
      <x:c r="J84" s="7"/>
      <x:c r="K84" s="7"/>
      <x:c r="L84" t="str">
        <x:f>IF(OR(B84="",G84="",AND(K84&lt;&gt;"Active",K84&lt;&gt;"Waiting")),"",IF(G84&lt;TODAY(),"Overdue",IF(G84&lt;=TODAY()+7,"This week","Later")))</x:f>
      </x:c>
    </x:row>
    <x:row r="85" ht="23" customHeight="1">
      <x:c r="A85" s="7"/>
      <x:c r="B85" s="7"/>
      <x:c r="C85" s="7"/>
      <x:c r="D85" s="7"/>
      <x:c r="E85" s="7"/>
      <x:c r="F85" s="8"/>
      <x:c r="G85" s="8"/>
      <x:c r="H85" s="7"/>
      <x:c r="I85" s="7"/>
      <x:c r="J85" s="7"/>
      <x:c r="K85" s="7"/>
      <x:c r="L85" t="str">
        <x:f>IF(OR(B85="",G85="",AND(K85&lt;&gt;"Active",K85&lt;&gt;"Waiting")),"",IF(G85&lt;TODAY(),"Overdue",IF(G85&lt;=TODAY()+7,"This week","Later")))</x:f>
      </x:c>
    </x:row>
    <x:row r="86" ht="23" customHeight="1">
      <x:c r="A86" s="7"/>
      <x:c r="B86" s="7"/>
      <x:c r="C86" s="7"/>
      <x:c r="D86" s="7"/>
      <x:c r="E86" s="7"/>
      <x:c r="F86" s="8"/>
      <x:c r="G86" s="8"/>
      <x:c r="H86" s="7"/>
      <x:c r="I86" s="7"/>
      <x:c r="J86" s="7"/>
      <x:c r="K86" s="7"/>
      <x:c r="L86" t="str">
        <x:f>IF(OR(B86="",G86="",AND(K86&lt;&gt;"Active",K86&lt;&gt;"Waiting")),"",IF(G86&lt;TODAY(),"Overdue",IF(G86&lt;=TODAY()+7,"This week","Later")))</x:f>
      </x:c>
    </x:row>
    <x:row r="87" ht="23" customHeight="1">
      <x:c r="A87" s="7"/>
      <x:c r="B87" s="7"/>
      <x:c r="C87" s="7"/>
      <x:c r="D87" s="7"/>
      <x:c r="E87" s="7"/>
      <x:c r="F87" s="8"/>
      <x:c r="G87" s="8"/>
      <x:c r="H87" s="7"/>
      <x:c r="I87" s="7"/>
      <x:c r="J87" s="7"/>
      <x:c r="K87" s="7"/>
      <x:c r="L87" t="str">
        <x:f>IF(OR(B87="",G87="",AND(K87&lt;&gt;"Active",K87&lt;&gt;"Waiting")),"",IF(G87&lt;TODAY(),"Overdue",IF(G87&lt;=TODAY()+7,"This week","Later")))</x:f>
      </x:c>
    </x:row>
    <x:row r="88" ht="23" customHeight="1">
      <x:c r="A88" s="7"/>
      <x:c r="B88" s="7"/>
      <x:c r="C88" s="7"/>
      <x:c r="D88" s="7"/>
      <x:c r="E88" s="7"/>
      <x:c r="F88" s="8"/>
      <x:c r="G88" s="8"/>
      <x:c r="H88" s="7"/>
      <x:c r="I88" s="7"/>
      <x:c r="J88" s="7"/>
      <x:c r="K88" s="7"/>
      <x:c r="L88" t="str">
        <x:f>IF(OR(B88="",G88="",AND(K88&lt;&gt;"Active",K88&lt;&gt;"Waiting")),"",IF(G88&lt;TODAY(),"Overdue",IF(G88&lt;=TODAY()+7,"This week","Later")))</x:f>
      </x:c>
    </x:row>
    <x:row r="89" ht="23" customHeight="1">
      <x:c r="A89" s="7"/>
      <x:c r="B89" s="7"/>
      <x:c r="C89" s="7"/>
      <x:c r="D89" s="7"/>
      <x:c r="E89" s="7"/>
      <x:c r="F89" s="8"/>
      <x:c r="G89" s="8"/>
      <x:c r="H89" s="7"/>
      <x:c r="I89" s="7"/>
      <x:c r="J89" s="7"/>
      <x:c r="K89" s="7"/>
      <x:c r="L89" t="str">
        <x:f>IF(OR(B89="",G89="",AND(K89&lt;&gt;"Active",K89&lt;&gt;"Waiting")),"",IF(G89&lt;TODAY(),"Overdue",IF(G89&lt;=TODAY()+7,"This week","Later")))</x:f>
      </x:c>
    </x:row>
    <x:row r="90" ht="23" customHeight="1">
      <x:c r="A90" s="7"/>
      <x:c r="B90" s="7"/>
      <x:c r="C90" s="7"/>
      <x:c r="D90" s="7"/>
      <x:c r="E90" s="7"/>
      <x:c r="F90" s="8"/>
      <x:c r="G90" s="8"/>
      <x:c r="H90" s="7"/>
      <x:c r="I90" s="7"/>
      <x:c r="J90" s="7"/>
      <x:c r="K90" s="7"/>
      <x:c r="L90" t="str">
        <x:f>IF(OR(B90="",G90="",AND(K90&lt;&gt;"Active",K90&lt;&gt;"Waiting")),"",IF(G90&lt;TODAY(),"Overdue",IF(G90&lt;=TODAY()+7,"This week","Later")))</x:f>
      </x:c>
    </x:row>
    <x:row r="91" ht="23" customHeight="1">
      <x:c r="A91" s="7"/>
      <x:c r="B91" s="7"/>
      <x:c r="C91" s="7"/>
      <x:c r="D91" s="7"/>
      <x:c r="E91" s="7"/>
      <x:c r="F91" s="8"/>
      <x:c r="G91" s="8"/>
      <x:c r="H91" s="7"/>
      <x:c r="I91" s="7"/>
      <x:c r="J91" s="7"/>
      <x:c r="K91" s="7"/>
      <x:c r="L91" t="str">
        <x:f>IF(OR(B91="",G91="",AND(K91&lt;&gt;"Active",K91&lt;&gt;"Waiting")),"",IF(G91&lt;TODAY(),"Overdue",IF(G91&lt;=TODAY()+7,"This week","Later")))</x:f>
      </x:c>
    </x:row>
    <x:row r="92" ht="23" customHeight="1">
      <x:c r="A92" s="7"/>
      <x:c r="B92" s="7"/>
      <x:c r="C92" s="7"/>
      <x:c r="D92" s="7"/>
      <x:c r="E92" s="7"/>
      <x:c r="F92" s="8"/>
      <x:c r="G92" s="8"/>
      <x:c r="H92" s="7"/>
      <x:c r="I92" s="7"/>
      <x:c r="J92" s="7"/>
      <x:c r="K92" s="7"/>
      <x:c r="L92" t="str">
        <x:f>IF(OR(B92="",G92="",AND(K92&lt;&gt;"Active",K92&lt;&gt;"Waiting")),"",IF(G92&lt;TODAY(),"Overdue",IF(G92&lt;=TODAY()+7,"This week","Later")))</x:f>
      </x:c>
    </x:row>
    <x:row r="93" ht="23" customHeight="1">
      <x:c r="A93" s="7"/>
      <x:c r="B93" s="7"/>
      <x:c r="C93" s="7"/>
      <x:c r="D93" s="7"/>
      <x:c r="E93" s="7"/>
      <x:c r="F93" s="8"/>
      <x:c r="G93" s="8"/>
      <x:c r="H93" s="7"/>
      <x:c r="I93" s="7"/>
      <x:c r="J93" s="7"/>
      <x:c r="K93" s="7"/>
      <x:c r="L93" t="str">
        <x:f>IF(OR(B93="",G93="",AND(K93&lt;&gt;"Active",K93&lt;&gt;"Waiting")),"",IF(G93&lt;TODAY(),"Overdue",IF(G93&lt;=TODAY()+7,"This week","Later")))</x:f>
      </x:c>
    </x:row>
    <x:row r="94" ht="23" customHeight="1">
      <x:c r="A94" s="7"/>
      <x:c r="B94" s="7"/>
      <x:c r="C94" s="7"/>
      <x:c r="D94" s="7"/>
      <x:c r="E94" s="7"/>
      <x:c r="F94" s="8"/>
      <x:c r="G94" s="8"/>
      <x:c r="H94" s="7"/>
      <x:c r="I94" s="7"/>
      <x:c r="J94" s="7"/>
      <x:c r="K94" s="7"/>
      <x:c r="L94" t="str">
        <x:f>IF(OR(B94="",G94="",AND(K94&lt;&gt;"Active",K94&lt;&gt;"Waiting")),"",IF(G94&lt;TODAY(),"Overdue",IF(G94&lt;=TODAY()+7,"This week","Later")))</x:f>
      </x:c>
    </x:row>
    <x:row r="95" ht="23" customHeight="1">
      <x:c r="A95" s="7"/>
      <x:c r="B95" s="7"/>
      <x:c r="C95" s="7"/>
      <x:c r="D95" s="7"/>
      <x:c r="E95" s="7"/>
      <x:c r="F95" s="8"/>
      <x:c r="G95" s="8"/>
      <x:c r="H95" s="7"/>
      <x:c r="I95" s="7"/>
      <x:c r="J95" s="7"/>
      <x:c r="K95" s="7"/>
      <x:c r="L95" t="str">
        <x:f>IF(OR(B95="",G95="",AND(K95&lt;&gt;"Active",K95&lt;&gt;"Waiting")),"",IF(G95&lt;TODAY(),"Overdue",IF(G95&lt;=TODAY()+7,"This week","Later")))</x:f>
      </x:c>
    </x:row>
    <x:row r="96" ht="23" customHeight="1">
      <x:c r="A96" s="7"/>
      <x:c r="B96" s="7"/>
      <x:c r="C96" s="7"/>
      <x:c r="D96" s="7"/>
      <x:c r="E96" s="7"/>
      <x:c r="F96" s="8"/>
      <x:c r="G96" s="8"/>
      <x:c r="H96" s="7"/>
      <x:c r="I96" s="7"/>
      <x:c r="J96" s="7"/>
      <x:c r="K96" s="7"/>
      <x:c r="L96" t="str">
        <x:f>IF(OR(B96="",G96="",AND(K96&lt;&gt;"Active",K96&lt;&gt;"Waiting")),"",IF(G96&lt;TODAY(),"Overdue",IF(G96&lt;=TODAY()+7,"This week","Later")))</x:f>
      </x:c>
    </x:row>
    <x:row r="97" ht="23" customHeight="1">
      <x:c r="A97" s="7"/>
      <x:c r="B97" s="7"/>
      <x:c r="C97" s="7"/>
      <x:c r="D97" s="7"/>
      <x:c r="E97" s="7"/>
      <x:c r="F97" s="8"/>
      <x:c r="G97" s="8"/>
      <x:c r="H97" s="7"/>
      <x:c r="I97" s="7"/>
      <x:c r="J97" s="7"/>
      <x:c r="K97" s="7"/>
      <x:c r="L97" t="str">
        <x:f>IF(OR(B97="",G97="",AND(K97&lt;&gt;"Active",K97&lt;&gt;"Waiting")),"",IF(G97&lt;TODAY(),"Overdue",IF(G97&lt;=TODAY()+7,"This week","Later")))</x:f>
      </x:c>
    </x:row>
    <x:row r="98" ht="23" customHeight="1">
      <x:c r="A98" s="7"/>
      <x:c r="B98" s="7"/>
      <x:c r="C98" s="7"/>
      <x:c r="D98" s="7"/>
      <x:c r="E98" s="7"/>
      <x:c r="F98" s="8"/>
      <x:c r="G98" s="8"/>
      <x:c r="H98" s="7"/>
      <x:c r="I98" s="7"/>
      <x:c r="J98" s="7"/>
      <x:c r="K98" s="7"/>
      <x:c r="L98" t="str">
        <x:f>IF(OR(B98="",G98="",AND(K98&lt;&gt;"Active",K98&lt;&gt;"Waiting")),"",IF(G98&lt;TODAY(),"Overdue",IF(G98&lt;=TODAY()+7,"This week","Later")))</x:f>
      </x:c>
    </x:row>
    <x:row r="99" ht="23" customHeight="1">
      <x:c r="A99" s="7"/>
      <x:c r="B99" s="7"/>
      <x:c r="C99" s="7"/>
      <x:c r="D99" s="7"/>
      <x:c r="E99" s="7"/>
      <x:c r="F99" s="8"/>
      <x:c r="G99" s="8"/>
      <x:c r="H99" s="7"/>
      <x:c r="I99" s="7"/>
      <x:c r="J99" s="7"/>
      <x:c r="K99" s="7"/>
      <x:c r="L99" t="str">
        <x:f>IF(OR(B99="",G99="",AND(K99&lt;&gt;"Active",K99&lt;&gt;"Waiting")),"",IF(G99&lt;TODAY(),"Overdue",IF(G99&lt;=TODAY()+7,"This week","Later")))</x:f>
      </x:c>
    </x:row>
    <x:row r="100" ht="23" customHeight="1">
      <x:c r="A100" s="7"/>
      <x:c r="B100" s="7"/>
      <x:c r="C100" s="7"/>
      <x:c r="D100" s="7"/>
      <x:c r="E100" s="7"/>
      <x:c r="F100" s="8"/>
      <x:c r="G100" s="8"/>
      <x:c r="H100" s="7"/>
      <x:c r="I100" s="7"/>
      <x:c r="J100" s="7"/>
      <x:c r="K100" s="7"/>
      <x:c r="L100" t="str">
        <x:f>IF(OR(B100="",G100="",AND(K100&lt;&gt;"Active",K100&lt;&gt;"Waiting")),"",IF(G100&lt;TODAY(),"Overdue",IF(G100&lt;=TODAY()+7,"This week","Later")))</x:f>
      </x:c>
    </x:row>
    <x:row r="101" ht="23" customHeight="1">
      <x:c r="A101" s="7"/>
      <x:c r="B101" s="7"/>
      <x:c r="C101" s="7"/>
      <x:c r="D101" s="7"/>
      <x:c r="E101" s="7"/>
      <x:c r="F101" s="8"/>
      <x:c r="G101" s="8"/>
      <x:c r="H101" s="7"/>
      <x:c r="I101" s="7"/>
      <x:c r="J101" s="7"/>
      <x:c r="K101" s="7"/>
      <x:c r="L101" t="str">
        <x:f>IF(OR(B101="",G101="",AND(K101&lt;&gt;"Active",K101&lt;&gt;"Waiting")),"",IF(G101&lt;TODAY(),"Overdue",IF(G101&lt;=TODAY()+7,"This week","Later")))</x:f>
      </x:c>
    </x:row>
    <x:row r="102" ht="23" customHeight="1">
      <x:c r="A102" s="7"/>
      <x:c r="B102" s="7"/>
      <x:c r="C102" s="7"/>
      <x:c r="D102" s="7"/>
      <x:c r="E102" s="7"/>
      <x:c r="F102" s="8"/>
      <x:c r="G102" s="8"/>
      <x:c r="H102" s="7"/>
      <x:c r="I102" s="7"/>
      <x:c r="J102" s="7"/>
      <x:c r="K102" s="7"/>
      <x:c r="L102" t="str">
        <x:f>IF(OR(B102="",G102="",AND(K102&lt;&gt;"Active",K102&lt;&gt;"Waiting")),"",IF(G102&lt;TODAY(),"Overdue",IF(G102&lt;=TODAY()+7,"This week","Later")))</x:f>
      </x:c>
    </x:row>
    <x:row r="103" ht="23" customHeight="1">
      <x:c r="A103" s="7"/>
      <x:c r="B103" s="7"/>
      <x:c r="C103" s="7"/>
      <x:c r="D103" s="7"/>
      <x:c r="E103" s="7"/>
      <x:c r="F103" s="8"/>
      <x:c r="G103" s="8"/>
      <x:c r="H103" s="7"/>
      <x:c r="I103" s="7"/>
      <x:c r="J103" s="7"/>
      <x:c r="K103" s="7"/>
      <x:c r="L103" t="str">
        <x:f>IF(OR(B103="",G103="",AND(K103&lt;&gt;"Active",K103&lt;&gt;"Waiting")),"",IF(G103&lt;TODAY(),"Overdue",IF(G103&lt;=TODAY()+7,"This week","Later")))</x:f>
      </x:c>
    </x:row>
    <x:row r="104" ht="23" customHeight="1">
      <x:c r="A104" s="7"/>
      <x:c r="B104" s="7"/>
      <x:c r="C104" s="7"/>
      <x:c r="D104" s="7"/>
      <x:c r="E104" s="7"/>
      <x:c r="F104" s="8"/>
      <x:c r="G104" s="8"/>
      <x:c r="H104" s="7"/>
      <x:c r="I104" s="7"/>
      <x:c r="J104" s="7"/>
      <x:c r="K104" s="7"/>
      <x:c r="L104" t="str">
        <x:f>IF(OR(B104="",G104="",AND(K104&lt;&gt;"Active",K104&lt;&gt;"Waiting")),"",IF(G104&lt;TODAY(),"Overdue",IF(G104&lt;=TODAY()+7,"This week","Later")))</x:f>
      </x:c>
    </x:row>
    <x:row r="105" ht="23" customHeight="1">
      <x:c r="A105" s="7"/>
      <x:c r="B105" s="7"/>
      <x:c r="C105" s="7"/>
      <x:c r="D105" s="7"/>
      <x:c r="E105" s="7"/>
      <x:c r="F105" s="8"/>
      <x:c r="G105" s="8"/>
      <x:c r="H105" s="7"/>
      <x:c r="I105" s="7"/>
      <x:c r="J105" s="7"/>
      <x:c r="K105" s="7"/>
      <x:c r="L105" t="str">
        <x:f>IF(OR(B105="",G105="",AND(K105&lt;&gt;"Active",K105&lt;&gt;"Waiting")),"",IF(G105&lt;TODAY(),"Overdue",IF(G105&lt;=TODAY()+7,"This week","Later")))</x:f>
      </x:c>
    </x:row>
    <x:row r="106" ht="23" customHeight="1">
      <x:c r="A106" s="7"/>
      <x:c r="B106" s="7"/>
      <x:c r="C106" s="7"/>
      <x:c r="D106" s="7"/>
      <x:c r="E106" s="7"/>
      <x:c r="F106" s="8"/>
      <x:c r="G106" s="8"/>
      <x:c r="H106" s="7"/>
      <x:c r="I106" s="7"/>
      <x:c r="J106" s="7"/>
      <x:c r="K106" s="7"/>
      <x:c r="L106" t="str">
        <x:f>IF(OR(B106="",G106="",AND(K106&lt;&gt;"Active",K106&lt;&gt;"Waiting")),"",IF(G106&lt;TODAY(),"Overdue",IF(G106&lt;=TODAY()+7,"This week","Later")))</x:f>
      </x:c>
    </x:row>
    <x:row r="107" ht="23" customHeight="1">
      <x:c r="A107" s="7"/>
      <x:c r="B107" s="7"/>
      <x:c r="C107" s="7"/>
      <x:c r="D107" s="7"/>
      <x:c r="E107" s="7"/>
      <x:c r="F107" s="8"/>
      <x:c r="G107" s="8"/>
      <x:c r="H107" s="7"/>
      <x:c r="I107" s="7"/>
      <x:c r="J107" s="7"/>
      <x:c r="K107" s="7"/>
      <x:c r="L107" t="str">
        <x:f>IF(OR(B107="",G107="",AND(K107&lt;&gt;"Active",K107&lt;&gt;"Waiting")),"",IF(G107&lt;TODAY(),"Overdue",IF(G107&lt;=TODAY()+7,"This week","Later")))</x:f>
      </x:c>
    </x:row>
    <x:row r="108" ht="23" customHeight="1">
      <x:c r="A108" s="7"/>
      <x:c r="B108" s="7"/>
      <x:c r="C108" s="7"/>
      <x:c r="D108" s="7"/>
      <x:c r="E108" s="7"/>
      <x:c r="F108" s="8"/>
      <x:c r="G108" s="8"/>
      <x:c r="H108" s="7"/>
      <x:c r="I108" s="7"/>
      <x:c r="J108" s="7"/>
      <x:c r="K108" s="7"/>
      <x:c r="L108" t="str">
        <x:f>IF(OR(B108="",G108="",AND(K108&lt;&gt;"Active",K108&lt;&gt;"Waiting")),"",IF(G108&lt;TODAY(),"Overdue",IF(G108&lt;=TODAY()+7,"This week","Later")))</x:f>
      </x:c>
    </x:row>
  </x:sheetData>
  <x:mergeCells>
    <x:mergeCell ref="A1:L1"/>
  </x:mergeCells>
  <x:conditionalFormatting sqref="L9:L108">
    <x:cfRule type="containsText" dxfId="0" priority="1" operator="containsText" text="Overdue"/>
  </x:conditionalFormatting>
  <x:dataValidations count="2">
    <x:dataValidation type="list" sqref="E9:E108">
      <x:formula1>"Not contacted,Message sent,Responded,Call scheduled,Call completed,Follow-up needed,Offer sent"</x:formula1>
    </x:dataValidation>
    <x:dataValidation type="list" sqref="K9:K108">
      <x:formula1>"Active,Waiting,Won,Closed,Do not contact"</x:formula1>
    </x:dataValidation>
  </x:dataValidations>
  <x:pageMargins left="0.7" right="0.7" top="0.75" bottom="0.75" header="0.3" footer="0.3"/>
</x:worksheet>
</file>