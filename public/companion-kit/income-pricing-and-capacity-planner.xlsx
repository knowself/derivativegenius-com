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afb3ed46f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c7d74c1c76b64fc9"/>
    <x:sheet xmlns:r="http://schemas.openxmlformats.org/officeDocument/2006/relationships" name="Tiers" sheetId="2" r:id="Rf8376275bfed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.0%"/>
    <x:numFmt numFmtId="202" formatCode="0.0"/>
    <x:numFmt numFmtId="203" formatCode="0.00"/>
  </x:numFmts>
  <x:fonts count="6">
    <x:font>
      <x:sz val="11"/>
      <x:name val="Carlito"/>
    </x:font>
    <x:font>
      <x:b/>
      <x:sz val="18"/>
      <x:color rgb="FF19304A"/>
      <x:name val="Aptos Display"/>
    </x:font>
    <x:font>
      <x:sz val="10"/>
      <x:color rgb="FF526375"/>
      <x:name val="Aptos"/>
    </x:font>
    <x:font>
      <x:b/>
      <x:sz val="10"/>
      <x:color rgb="FFFFFFFF"/>
      <x:name val="Aptos"/>
    </x:font>
    <x:font>
      <x:sz val="11"/>
      <x:color rgb="FF175CD3"/>
      <x:name val="Aptos"/>
    </x:font>
    <x:font>
      <x:b/>
      <x:sz val="11"/>
      <x:color rgb="FF19304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9304A"/>
      </x:patternFill>
    </x:fill>
    <x:fill>
      <x:patternFill patternType="solid">
        <x:fgColor rgb="FFEAF5F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2" fontId="4" fillId="3" borderId="0" xfId="0" applyNumberFormat="1" applyFont="1" applyFill="1" applyBorder="1"/>
    <x:xf numFmtId="203" fontId="4" fillId="3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e1f9eb642489d" /><Relationship Type="http://schemas.openxmlformats.org/officeDocument/2006/relationships/theme" Target="/xl/theme/theme1.xml" Id="Ra2e1a06778a34cfb" /><Relationship Type="http://schemas.openxmlformats.org/officeDocument/2006/relationships/sharedStrings" Target="/xl/sharedStrings.xml" Id="R7673b87feacb4f86" /><Relationship Type="http://schemas.openxmlformats.org/officeDocument/2006/relationships/worksheet" Target="/xl/worksheets/sheet1.xml" Id="Rc7d74c1c76b64fc9" /><Relationship Type="http://schemas.openxmlformats.org/officeDocument/2006/relationships/worksheet" Target="/xl/worksheets/sheet2.xml" Id="Rf8376275bfed4f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04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1" t="str">
        <x:v>Income, pricing and capacity plan</x:v>
      </x:c>
      <x:c r="B1" s="1"/>
      <x:c r="C1" s="1"/>
      <x:c r="D1" s="1"/>
      <x:c r="E1" s="1"/>
      <x:c r="F1" s="1"/>
    </x:row>
    <x:row r="2">
      <x:c r="A2" s="2" t="str">
        <x:v>Illustrative planning inputs. Change blue cells to match your situation. Dollars are monthly unless stated.</x:v>
      </x:c>
    </x:row>
    <x:row r="4" ht="30" customHeight="1">
      <x:c r="A4" s="4" t="str">
        <x:v>Editable assumptions</x:v>
      </x:c>
      <x:c r="B4" s="4" t="str">
        <x:v>Your number</x:v>
      </x:c>
    </x:row>
    <x:row r="5" ht="26" customHeight="1">
      <x:c r="A5" t="str">
        <x:v>Personal income target after reserve</x:v>
      </x:c>
      <x:c r="B5" s="7" t="n">
        <x:v>4000</x:v>
      </x:c>
    </x:row>
    <x:row r="6" ht="26" customHeight="1">
      <x:c r="A6" t="str">
        <x:v>Monthly business overhead</x:v>
      </x:c>
      <x:c r="B6" s="7" t="n">
        <x:v>300</x:v>
      </x:c>
    </x:row>
    <x:row r="7" ht="26" customHeight="1">
      <x:c r="A7" t="str">
        <x:v>Tax reserve as share of revenue</x:v>
      </x:c>
      <x:c r="B7" s="8" t="n">
        <x:v>0.25</x:v>
      </x:c>
    </x:row>
    <x:row r="8" ht="26" customHeight="1">
      <x:c r="A8" t="str">
        <x:v>Hours available each week</x:v>
      </x:c>
      <x:c r="B8" s="9" t="n">
        <x:v>20</x:v>
      </x:c>
    </x:row>
    <x:row r="9" ht="26" customHeight="1">
      <x:c r="A9" t="str">
        <x:v>Share of time available for client delivery</x:v>
      </x:c>
      <x:c r="B9" s="8" t="n">
        <x:v>0.6</x:v>
      </x:c>
    </x:row>
    <x:row r="10" ht="26" customHeight="1">
      <x:c r="A10" t="str">
        <x:v>Capacity allowance for gaps and interruptions</x:v>
      </x:c>
      <x:c r="B10" s="8" t="n">
        <x:v>0.85</x:v>
      </x:c>
    </x:row>
    <x:row r="11" ht="26" customHeight="1">
      <x:c r="A11" t="str">
        <x:v>Weeks per month</x:v>
      </x:c>
      <x:c r="B11" s="10" t="n">
        <x:v>4.333333333333333</x:v>
      </x:c>
    </x:row>
    <x:row r="12" ht="26" customHeight="1"/>
    <x:row r="13" ht="26" customHeight="1">
      <x:c r="A13" s="4" t="str">
        <x:v>Calculated result</x:v>
      </x:c>
      <x:c r="B13" s="4" t="str">
        <x:v>Monthly estimate</x:v>
      </x:c>
    </x:row>
    <x:row r="14" ht="26" customHeight="1">
      <x:c r="A14" t="str">
        <x:v>Revenue needed for target</x:v>
      </x:c>
      <x:c r="B14" s="11" t="n">
        <x:f>IF(OR(B5&lt;0,B6&lt;0,B7&lt;0,B7&gt;=1),"Check assumptions",(B5+B6)/(1-B7))</x:f>
        <x:v>5733.333333333333</x:v>
      </x:c>
    </x:row>
    <x:row r="15" ht="26" customHeight="1">
      <x:c r="A15" t="str">
        <x:v>Delivery hours available</x:v>
      </x:c>
      <x:c r="B15" s="12" t="n">
        <x:f>IF(OR(B8&lt;0,B9&lt;0,B9&gt;1,B10&lt;0,B10&gt;1,B11&lt;=0),"Check assumptions",B8*B9*B10*B11)</x:f>
        <x:v>44.199999999999996</x:v>
      </x:c>
    </x:row>
    <x:row r="16" ht="26" customHeight="1">
      <x:c r="A16" t="str">
        <x:v>Core tier clients needed</x:v>
      </x:c>
      <x:c r="B16" t="n">
        <x:f>IF(OR(NOT(ISNUMBER(B14)),Tiers!B6&lt;=0),"Check tier fee",ROUNDUP(B14/Tiers!B6,0))</x:f>
        <x:v>4</x:v>
      </x:c>
    </x:row>
    <x:row r="17" ht="26" customHeight="1">
      <x:c r="A17" t="str">
        <x:v>Hours for those clients</x:v>
      </x:c>
      <x:c r="B17" s="12" t="n">
        <x:f>IF(OR(NOT(ISNUMBER(B16)),Tiers!C6&lt;0),"Check hours",B16*Tiers!C6)</x:f>
        <x:v>40</x:v>
      </x:c>
    </x:row>
    <x:row r="18" ht="26" customHeight="1">
      <x:c r="A18" t="str">
        <x:v>Estimated personal income at client count</x:v>
      </x:c>
      <x:c r="B18" s="11" t="n">
        <x:f>IF(NOT(ISNUMBER(B16)),"Check inputs",B16*Tiers!B6*(1-B7)-B6)</x:f>
        <x:v>4500</x:v>
      </x:c>
    </x:row>
    <x:row r="19" ht="26" customHeight="1">
      <x:c r="A19" t="str">
        <x:v>Capacity result</x:v>
      </x:c>
      <x:c r="B19" t="str">
        <x:f>IF(OR(NOT(ISNUMBER(B15)),NOT(ISNUMBER(B17))),"Check inputs",IF(B17&lt;=B15,"Fits available hours","Over capacity"))</x:f>
        <x:v>Fits available hours</x:v>
      </x:c>
    </x:row>
    <x:row r="21" ht="27" customHeight="1">
      <x:c r="A21" s="13" t="str">
        <x:v>Read this before setting a price</x:v>
      </x:c>
      <x:c r="B21" s="13"/>
      <x:c r="C21" s="13"/>
      <x:c r="D21" s="13"/>
      <x:c r="E21" s="13"/>
      <x:c r="F21" s="13"/>
    </x:row>
    <x:row r="22">
      <x:c r="A22" s="2" t="str">
        <x:v>Revenue needed = (personal target + overhead) / (1 - reserve). Reserve is a user-chosen planning assumption.</x:v>
      </x:c>
    </x:row>
    <x:row r="23">
      <x:c r="A23" s="2" t="str">
        <x:v>Delivery capacity = weekly hours x delivery share x capacity allowance x weeks per month.</x:v>
      </x:c>
    </x:row>
    <x:row r="24">
      <x:c r="A24" s="2" t="str">
        <x:v>Client count rounds up to a whole client. The core tier on the Tiers tab drives the Plan summary.</x:v>
      </x:c>
    </x:row>
    <x:row r="25">
      <x:c r="A25" s="2" t="str">
        <x:v>Taxes vary by person and jurisdiction. This workbook does not calculate tax owed, cash collection or partial months.</x:v>
      </x:c>
    </x:row>
    <x:row r="26">
      <x:c r="A26" s="2" t="str">
        <x:v>Source framework: The AI Income Second Act over 50, pp. 158-169 and 300-319. Tier amounts are editable examples.</x:v>
      </x:c>
    </x:row>
  </x:sheetData>
  <x:mergeCells>
    <x:mergeCell ref="A1:F1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09CA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4" customHeight="1">
      <x:c r="A1" s="1" t="str">
        <x:v>Retainer options and capacity</x:v>
      </x:c>
      <x:c r="B1" s="1"/>
      <x:c r="C1" s="1"/>
      <x:c r="D1" s="1"/>
      <x:c r="E1" s="1"/>
      <x:c r="F1" s="1"/>
      <x:c r="G1" s="1"/>
      <x:c r="H1" s="1"/>
    </x:row>
    <x:row r="2">
      <x:c r="A2" s="2" t="str">
        <x:v>Enter a monthly fee and expected monthly delivery hours for each option. The three options are illustrative.</x:v>
      </x:c>
    </x:row>
    <x:row r="4" ht="29" customHeight="1">
      <x:c r="A4" s="4" t="str">
        <x:v>Option</x:v>
      </x:c>
      <x:c r="B4" s="4" t="str">
        <x:v>Monthly fee</x:v>
      </x:c>
      <x:c r="C4" s="4" t="str">
        <x:v>Hours / client</x:v>
      </x:c>
      <x:c r="D4" s="4" t="str">
        <x:v>Clients needed</x:v>
      </x:c>
      <x:c r="E4" s="4" t="str">
        <x:v>Hours needed</x:v>
      </x:c>
      <x:c r="F4" s="4" t="str">
        <x:v>Revenue / month</x:v>
      </x:c>
      <x:c r="G4" s="4" t="str">
        <x:v>Personal income*</x:v>
      </x:c>
      <x:c r="H4" s="4" t="str">
        <x:v>Capacity</x:v>
      </x:c>
    </x:row>
    <x:row r="5" ht="29" customHeight="1">
      <x:c r="A5" t="str">
        <x:v>Focused</x:v>
      </x:c>
      <x:c r="B5" s="7" t="n">
        <x:v>900</x:v>
      </x:c>
      <x:c r="C5" s="9" t="n">
        <x:v>6</x:v>
      </x:c>
      <x:c r="D5" t="n">
        <x:f>IF(OR(NOT(ISNUMBER(Plan!B14)),B5&lt;=0),"",ROUNDUP(Plan!B14/B5,0))</x:f>
        <x:v>7</x:v>
      </x:c>
      <x:c r="E5" s="12" t="n">
        <x:f>IF(OR(D5="",C5&lt;0),"",D5*C5)</x:f>
        <x:v>42</x:v>
      </x:c>
      <x:c r="F5" s="11" t="n">
        <x:f>IF(D5="","",D5*B5)</x:f>
        <x:v>6300</x:v>
      </x:c>
      <x:c r="G5" s="11" t="n">
        <x:f>IF(F5="","",F5*(1-Plan!B7)-Plan!B6)</x:f>
        <x:v>4425</x:v>
      </x:c>
      <x:c r="H5" t="str">
        <x:f>IF(OR(E5="",NOT(ISNUMBER(Plan!B15))),"Check inputs",IF(E5&lt;=Plan!B15,"Fits","Over capacity"))</x:f>
        <x:v>Fits</x:v>
      </x:c>
    </x:row>
    <x:row r="6" ht="29" customHeight="1">
      <x:c r="A6" t="str">
        <x:v>Core</x:v>
      </x:c>
      <x:c r="B6" s="7" t="n">
        <x:v>1600</x:v>
      </x:c>
      <x:c r="C6" s="9" t="n">
        <x:v>10</x:v>
      </x:c>
      <x:c r="D6" t="n">
        <x:f>IF(OR(NOT(ISNUMBER(Plan!B14)),B6&lt;=0),"",ROUNDUP(Plan!B14/B6,0))</x:f>
        <x:v>4</x:v>
      </x:c>
      <x:c r="E6" s="12" t="n">
        <x:f>IF(OR(D6="",C6&lt;0),"",D6*C6)</x:f>
        <x:v>40</x:v>
      </x:c>
      <x:c r="F6" s="11" t="n">
        <x:f>IF(D6="","",D6*B6)</x:f>
        <x:v>6400</x:v>
      </x:c>
      <x:c r="G6" s="11" t="n">
        <x:f>IF(F6="","",F6*(1-Plan!B7)-Plan!B6)</x:f>
        <x:v>4500</x:v>
      </x:c>
      <x:c r="H6" t="str">
        <x:f>IF(OR(E6="",NOT(ISNUMBER(Plan!B15))),"Check inputs",IF(E6&lt;=Plan!B15,"Fits","Over capacity"))</x:f>
        <x:v>Fits</x:v>
      </x:c>
    </x:row>
    <x:row r="7" ht="29" customHeight="1">
      <x:c r="A7" t="str">
        <x:v>Advisory</x:v>
      </x:c>
      <x:c r="B7" s="7" t="n">
        <x:v>3000</x:v>
      </x:c>
      <x:c r="C7" s="9" t="n">
        <x:v>16</x:v>
      </x:c>
      <x:c r="D7" t="n">
        <x:f>IF(OR(NOT(ISNUMBER(Plan!B14)),B7&lt;=0),"",ROUNDUP(Plan!B14/B7,0))</x:f>
        <x:v>2</x:v>
      </x:c>
      <x:c r="E7" s="12" t="n">
        <x:f>IF(OR(D7="",C7&lt;0),"",D7*C7)</x:f>
        <x:v>32</x:v>
      </x:c>
      <x:c r="F7" s="11" t="n">
        <x:f>IF(D7="","",D7*B7)</x:f>
        <x:v>6000</x:v>
      </x:c>
      <x:c r="G7" s="11" t="n">
        <x:f>IF(F7="","",F7*(1-Plan!B7)-Plan!B6)</x:f>
        <x:v>4200</x:v>
      </x:c>
      <x:c r="H7" t="str">
        <x:f>IF(OR(E7="",NOT(ISNUMBER(Plan!B15))),"Check inputs",IF(E7&lt;=Plan!B15,"Fits","Over capacity"))</x:f>
        <x:v>Fits</x:v>
      </x:c>
    </x:row>
    <x:row r="10">
      <x:c r="A10" s="13" t="str">
        <x:v>Scope notes</x:v>
      </x:c>
      <x:c r="B10" s="13"/>
      <x:c r="C10" s="13"/>
      <x:c r="D10" s="13"/>
      <x:c r="E10" s="13"/>
      <x:c r="F10" s="13"/>
      <x:c r="G10" s="13"/>
      <x:c r="H10" s="13"/>
    </x:row>
    <x:row r="11">
      <x:c r="A11" s="2" t="str">
        <x:v>Focused: one recurring task; narrow deliverables and monthly check-in.</x:v>
      </x:c>
    </x:row>
    <x:row r="12">
      <x:c r="A12" s="2" t="str">
        <x:v>Core: broader repeatable process; monthly review and limited revisions.</x:v>
      </x:c>
    </x:row>
    <x:row r="13">
      <x:c r="A13" s="2" t="str">
        <x:v>Advisory: strategy and implementation support with explicitly defined access.</x:v>
      </x:c>
    </x:row>
    <x:row r="15">
      <x:c r="A15" s="2" t="str">
        <x:v>* Personal income is monthly revenue less the assumed reserve and fixed overhead. All clients are assumed to pay.</x:v>
      </x:c>
    </x:row>
    <x:row r="16">
      <x:c r="A16" s="2" t="str">
        <x:v>Check your own scope and delivery estimates before promising a response time or a result.</x:v>
      </x:c>
    </x:row>
  </x:sheetData>
  <x:mergeCells>
    <x:mergeCell ref="A1:H1"/>
    <x:mergeCell ref="A10:H10"/>
  </x:mergeCells>
  <x:pageMargins left="0.7" right="0.7" top="0.75" bottom="0.75" header="0.3" footer="0.3"/>
</x:worksheet>
</file>